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User Story" sheetId="1" state="visible" r:id="rId1"/>
    <sheet xmlns:r="http://schemas.openxmlformats.org/officeDocument/2006/relationships" name="Tổng hợp" sheetId="2" state="visible" r:id="rId2"/>
  </sheets>
  <definedNames>
    <definedName name="_xlnm._FilterDatabase" localSheetId="0" hidden="1">'User Story'!$A$1:$M$52</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8">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b val="1"/>
      <sz val="10"/>
    </font>
    <font>
      <name val="Arial"/>
      <charset val="1"/>
      <family val="0"/>
      <sz val="10"/>
    </font>
    <font>
      <name val="Arial"/>
      <charset val="1"/>
      <family val="0"/>
      <b val="1"/>
      <color rgb="FF1F4E79"/>
      <sz val="14"/>
    </font>
  </fonts>
  <fills count="3">
    <fill>
      <patternFill/>
    </fill>
    <fill>
      <patternFill patternType="gray125"/>
    </fill>
    <fill>
      <patternFill patternType="solid">
        <fgColor rgb="FF1F4E79"/>
        <bgColor rgb="FF00336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top" wrapText="1"/>
    </xf>
    <xf numFmtId="0" fontId="6" fillId="0" borderId="1" applyAlignment="1" pivotButton="0" quotePrefix="0" xfId="0">
      <alignment horizontal="general" vertical="top" wrapText="1"/>
    </xf>
    <xf numFmtId="0" fontId="6" fillId="0" borderId="1" applyAlignment="1" pivotButton="0" quotePrefix="0" xfId="0">
      <alignment horizontal="center" vertical="top" wrapText="1"/>
    </xf>
    <xf numFmtId="0" fontId="7" fillId="0" borderId="0" applyAlignment="1" pivotButton="0" quotePrefix="0" xfId="0">
      <alignment horizontal="general" vertical="bottom"/>
    </xf>
    <xf numFmtId="0" fontId="5"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6" fillId="0" borderId="1" applyAlignment="1" pivotButton="0" quotePrefix="0" xfId="0">
      <alignment horizontal="left" vertical="center"/>
    </xf>
    <xf numFmtId="0" fontId="6" fillId="0" borderId="1" applyAlignment="1" pivotButton="0" quotePrefix="0" xfId="0">
      <alignment horizontal="center" vertical="center"/>
    </xf>
    <xf numFmtId="0" fontId="5" fillId="0" borderId="1" applyAlignment="1" pivotButton="0" quotePrefix="0" xfId="0">
      <alignment horizontal="center" vertical="center"/>
    </xf>
    <xf numFmtId="0" fontId="5" fillId="0" borderId="1" applyAlignment="1" pivotButton="0" quotePrefix="0" xfId="0">
      <alignment horizontal="left" vertical="center"/>
    </xf>
    <xf numFmtId="164" fontId="6" fillId="0" borderId="1" applyAlignment="1" pivotButton="0" quotePrefix="0" xfId="0">
      <alignment horizontal="center" vertical="center"/>
    </xf>
    <xf numFmtId="164" fontId="5" fillId="0" borderId="1" applyAlignment="1" pivotButton="0" quotePrefix="0" xfId="0">
      <alignment horizontal="center" vertical="center"/>
    </xf>
    <xf numFmtId="0" fontId="6"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top" wrapText="1"/>
    </xf>
    <xf numFmtId="0" fontId="6" fillId="0" borderId="1" applyAlignment="1" pivotButton="0" quotePrefix="0" xfId="0">
      <alignment horizontal="general" vertical="top" wrapText="1"/>
    </xf>
    <xf numFmtId="0" fontId="6" fillId="0" borderId="1" applyAlignment="1" pivotButton="0" quotePrefix="0" xfId="0">
      <alignment horizontal="center" vertical="top" wrapText="1"/>
    </xf>
    <xf numFmtId="0" fontId="7" fillId="0" borderId="0" applyAlignment="1" pivotButton="0" quotePrefix="0" xfId="0">
      <alignment horizontal="general" vertical="bottom"/>
    </xf>
    <xf numFmtId="0" fontId="5"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6" fillId="0" borderId="1" applyAlignment="1" pivotButton="0" quotePrefix="0" xfId="0">
      <alignment horizontal="left" vertical="center"/>
    </xf>
    <xf numFmtId="0" fontId="6" fillId="0" borderId="1" applyAlignment="1" pivotButton="0" quotePrefix="0" xfId="0">
      <alignment horizontal="center" vertical="center"/>
    </xf>
    <xf numFmtId="0" fontId="5" fillId="0" borderId="1" applyAlignment="1" pivotButton="0" quotePrefix="0" xfId="0">
      <alignment horizontal="center" vertical="center"/>
    </xf>
    <xf numFmtId="0" fontId="5" fillId="0" borderId="1" applyAlignment="1" pivotButton="0" quotePrefix="0" xfId="0">
      <alignment horizontal="left" vertical="center"/>
    </xf>
    <xf numFmtId="164" fontId="6" fillId="0" borderId="1" applyAlignment="1" pivotButton="0" quotePrefix="0" xfId="0">
      <alignment horizontal="center" vertical="center"/>
    </xf>
    <xf numFmtId="164" fontId="5" fillId="0" borderId="1" applyAlignment="1" pivotButton="0" quotePrefix="0" xfId="0">
      <alignment horizontal="center" vertical="center"/>
    </xf>
    <xf numFmtId="0" fontId="6"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0">
    <dxf>
      <fill>
        <patternFill patternType="solid">
          <fgColor rgb="FF1F4E79"/>
          <bgColor rgb="FF000000"/>
        </patternFill>
      </fill>
    </dxf>
    <dxf>
      <fill>
        <patternFill patternType="solid">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FCE4D6"/>
          <bgColor rgb="FF000000"/>
        </patternFill>
      </fill>
    </dxf>
    <dxf>
      <fill>
        <patternFill patternType="solid">
          <fgColor rgb="FFC6EFCE"/>
          <bgColor rgb="FF000000"/>
        </patternFill>
      </fill>
    </dxf>
    <dxf>
      <fill>
        <patternFill>
          <bgColor rgb="FFFCE4D6"/>
        </patternFill>
      </fill>
    </dxf>
    <dxf>
      <fill>
        <patternFill>
          <bgColor rgb="FFDDEBF7"/>
        </patternFill>
      </fill>
    </dxf>
    <dxf>
      <fill>
        <patternFill>
          <bgColor rgb="FFC6EFCE"/>
        </patternFill>
      </fill>
    </dxf>
    <dxf>
      <fill>
        <patternFill>
          <bgColor rgb="FFFFEB9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4D6"/>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M52"/>
  <sheetViews>
    <sheetView showFormulas="0" showGridLines="1" showRowColHeaders="1" showZeros="1" rightToLeft="0" tabSelected="1" showOutlineSymbols="1" defaultGridColor="1"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baseColWidth="8" defaultColWidth="8.6796875" defaultRowHeight="15" zeroHeight="0" outlineLevelRow="0"/>
  <cols>
    <col width="9" customWidth="1" style="17" min="1" max="1"/>
    <col width="24" customWidth="1" style="17" min="2" max="2"/>
    <col width="18" customWidth="1" style="17" min="3" max="3"/>
    <col width="36" customWidth="1" style="17" min="4" max="5"/>
    <col width="52" customWidth="1" style="17" min="6" max="6"/>
    <col width="70" customWidth="1" style="17" min="7" max="7"/>
    <col width="13" customWidth="1" style="17" min="8" max="8"/>
    <col width="10" customWidth="1" style="17" min="9" max="9"/>
    <col width="11" customWidth="1" style="17" min="10" max="11"/>
    <col width="8" customWidth="1" style="17" min="12" max="12"/>
    <col width="13" customWidth="1" style="17" min="13" max="13"/>
  </cols>
  <sheetData>
    <row r="1" ht="30" customHeight="1" s="18">
      <c r="A1" s="19" t="inlineStr">
        <is>
          <t>Mã US</t>
        </is>
      </c>
      <c r="B1" s="19" t="inlineStr">
        <is>
          <t>Epic</t>
        </is>
      </c>
      <c r="C1" s="19" t="inlineStr">
        <is>
          <t>Vai trò</t>
        </is>
      </c>
      <c r="D1" s="19" t="inlineStr">
        <is>
          <t>Tôi muốn</t>
        </is>
      </c>
      <c r="E1" s="19" t="inlineStr">
        <is>
          <t>Để</t>
        </is>
      </c>
      <c r="F1" s="19" t="inlineStr">
        <is>
          <t>Câu chuyện (tự ghép)</t>
        </is>
      </c>
      <c r="G1" s="19" t="inlineStr">
        <is>
          <t>Tiêu chí nghiệm thu</t>
        </is>
      </c>
      <c r="H1" s="19" t="inlineStr">
        <is>
          <t>FR</t>
        </is>
      </c>
      <c r="I1" s="19" t="inlineStr">
        <is>
          <t>Use Case</t>
        </is>
      </c>
      <c r="J1" s="19" t="inlineStr">
        <is>
          <t>Ưu tiên</t>
        </is>
      </c>
      <c r="K1" s="19" t="inlineStr">
        <is>
          <t>Sprint</t>
        </is>
      </c>
      <c r="L1" s="19" t="inlineStr">
        <is>
          <t>Điểm</t>
        </is>
      </c>
      <c r="M1" s="19" t="inlineStr">
        <is>
          <t>Trạng thái</t>
        </is>
      </c>
    </row>
    <row r="2" ht="90.75" customHeight="1" s="18">
      <c r="A2" s="20" t="inlineStr">
        <is>
          <t>US-01</t>
        </is>
      </c>
      <c r="B2" s="21" t="inlineStr">
        <is>
          <t>E1. Tài khoản và phân quyền</t>
        </is>
      </c>
      <c r="C2" s="21" t="inlineStr">
        <is>
          <t>Chủ quán</t>
        </is>
      </c>
      <c r="D2" s="21" t="inlineStr">
        <is>
          <t>đăng ký tài khoản bằng email và mật khẩu</t>
        </is>
      </c>
      <c r="E2" s="21" t="inlineStr">
        <is>
          <t>quản lý quán của mình trên hệ thống</t>
        </is>
      </c>
      <c r="F2" s="21">
        <f>"Là "&amp;LOWER(LEFT(C2,1))&amp;MID(C2,2,100)&amp;", tôi muốn "&amp;D2&amp;", để "&amp;E2&amp;"."</f>
        <v/>
      </c>
      <c r="G2" s="21" t="inlineStr">
        <is>
          <t>1. Cho tôi ở trang đăng ký, khi nhập đủ họ tên, email chưa dùng, số điện thoại, mật khẩu từ 8 ký tự và chọn vai trò Chủ quán, thì tài khoản được tạo và tôi được chuyển tới trang đăng nhập.
2. Cho email đã được dùng, khi tôi đăng ký, thì hệ thống báo "Email đã được sử dụng" và không tạo tài khoản.
3. Cho mật khẩu ngắn hơn 8 ký tự hoặc nhập lại không khớp, khi tôi gửi biểu mẫu, thì hệ thống báo lỗi tại ô tương ứng.
4. Mật khẩu chỉ được lưu dạng băm trong CSDL.</t>
        </is>
      </c>
      <c r="H2" s="22" t="inlineStr">
        <is>
          <t>FR-01</t>
        </is>
      </c>
      <c r="I2" s="22" t="inlineStr">
        <is>
          <t>UC-01</t>
        </is>
      </c>
      <c r="J2" s="22" t="inlineStr">
        <is>
          <t>Bắt buộc</t>
        </is>
      </c>
      <c r="K2" s="22" t="inlineStr">
        <is>
          <t>Sprint 1</t>
        </is>
      </c>
      <c r="L2" s="22" t="n">
        <v>3</v>
      </c>
      <c r="M2" s="22" t="inlineStr">
        <is>
          <t>Hoàn thành</t>
        </is>
      </c>
    </row>
    <row r="3" ht="34.5" customHeight="1" s="18">
      <c r="A3" s="20" t="inlineStr">
        <is>
          <t>US-02</t>
        </is>
      </c>
      <c r="B3" s="21" t="inlineStr">
        <is>
          <t>E1. Tài khoản và phân quyền</t>
        </is>
      </c>
      <c r="C3" s="21" t="inlineStr">
        <is>
          <t>Khách hàng</t>
        </is>
      </c>
      <c r="D3" s="21" t="inlineStr">
        <is>
          <t>đăng ký tài khoản tùy chọn</t>
        </is>
      </c>
      <c r="E3" s="21" t="inlineStr">
        <is>
          <t>lưu lịch sử gọi món cho những lần sau</t>
        </is>
      </c>
      <c r="F3" s="21">
        <f>"Là "&amp;LOWER(LEFT(C3,1))&amp;MID(C3,2,100)&amp;", tôi muốn "&amp;D3&amp;", để "&amp;E3&amp;"."</f>
        <v/>
      </c>
      <c r="G3" s="21" t="inlineStr">
        <is>
          <t>1. Cho tôi chưa đăng nhập, khi đăng ký tài khoản khách với thông tin hợp lệ và nhập đúng mã 6 số gửi qua email, thì tài khoản được tạo và tôi được đăng nhập.
2. Gọi món qua mã QR vẫn không yêu cầu tài khoản.</t>
        </is>
      </c>
      <c r="H3" s="22" t="inlineStr">
        <is>
          <t>FR-01</t>
        </is>
      </c>
      <c r="I3" s="22" t="inlineStr">
        <is>
          <t>UC-01</t>
        </is>
      </c>
      <c r="J3" s="22" t="inlineStr">
        <is>
          <t>Nâng cao</t>
        </is>
      </c>
      <c r="K3" s="22" t="inlineStr">
        <is>
          <t>Sprint 3</t>
        </is>
      </c>
      <c r="L3" s="22" t="n">
        <v>1</v>
      </c>
      <c r="M3" s="22" t="inlineStr">
        <is>
          <t>Hoàn thành</t>
        </is>
      </c>
    </row>
    <row r="4" ht="68.25" customHeight="1" s="18">
      <c r="A4" s="20" t="inlineStr">
        <is>
          <t>US-03</t>
        </is>
      </c>
      <c r="B4" s="21" t="inlineStr">
        <is>
          <t>E1. Tài khoản và phân quyền</t>
        </is>
      </c>
      <c r="C4" s="21" t="inlineStr">
        <is>
          <t>Người dùng có tài khoản</t>
        </is>
      </c>
      <c r="D4" s="21" t="inlineStr">
        <is>
          <t>đăng nhập bằng email và mật khẩu</t>
        </is>
      </c>
      <c r="E4" s="21" t="inlineStr">
        <is>
          <t>vào đúng trang theo vai trò của mình</t>
        </is>
      </c>
      <c r="F4" s="21">
        <f>"Là "&amp;LOWER(LEFT(C4,1))&amp;MID(C4,2,100)&amp;", tôi muốn "&amp;D4&amp;", để "&amp;E4&amp;"."</f>
        <v/>
      </c>
      <c r="G4" s="21" t="inlineStr">
        <is>
          <t>1. Cho thông tin đúng, khi tôi đăng nhập, thì chủ quán được chuyển tới bảng đơn hàng và Admin tới trang quản trị.
2. Cho email hoặc mật khẩu sai, khi tôi đăng nhập, thì hệ thống báo chung "Email hoặc mật khẩu không đúng".
3. Cho tài khoản bị khóa, khi tôi đăng nhập, thì hệ thống báo "Tài khoản đã bị khóa" và không cho vào.</t>
        </is>
      </c>
      <c r="H4" s="22" t="inlineStr">
        <is>
          <t>FR-02</t>
        </is>
      </c>
      <c r="I4" s="22" t="inlineStr">
        <is>
          <t>UC-02</t>
        </is>
      </c>
      <c r="J4" s="22" t="inlineStr">
        <is>
          <t>Bắt buộc</t>
        </is>
      </c>
      <c r="K4" s="22" t="inlineStr">
        <is>
          <t>Sprint 1</t>
        </is>
      </c>
      <c r="L4" s="22" t="n">
        <v>3</v>
      </c>
      <c r="M4" s="22" t="inlineStr">
        <is>
          <t>Hoàn thành</t>
        </is>
      </c>
    </row>
    <row r="5" ht="57" customHeight="1" s="18">
      <c r="A5" s="20" t="inlineStr">
        <is>
          <t>US-04</t>
        </is>
      </c>
      <c r="B5" s="21" t="inlineStr">
        <is>
          <t>E1. Tài khoản và phân quyền</t>
        </is>
      </c>
      <c r="C5" s="21" t="inlineStr">
        <is>
          <t>Người dùng có tài khoản</t>
        </is>
      </c>
      <c r="D5" s="21" t="inlineStr">
        <is>
          <t>hệ thống chặn truy cập các trang không thuộc quyền của tôi</t>
        </is>
      </c>
      <c r="E5" s="21" t="inlineStr">
        <is>
          <t>dữ liệu của quán không bị người khác xem hoặc sửa</t>
        </is>
      </c>
      <c r="F5" s="21">
        <f>"Là "&amp;LOWER(LEFT(C5,1))&amp;MID(C5,2,100)&amp;", tôi muốn "&amp;D5&amp;", để "&amp;E5&amp;"."</f>
        <v/>
      </c>
      <c r="G5" s="21" t="inlineStr">
        <is>
          <t>1. Cho tôi chưa đăng nhập, khi mở trang của chủ quán hoặc Admin, thì tôi được chuyển về trang đăng nhập.
2. Cho tôi là chủ quán, khi truy cập trang quản trị, thì hệ thống trả mã 403.
3. Cho tôi là chủ quán, khi đổi ID trong đường dẫn sang món hoặc đơn của quán khác, thì hệ thống từ chối.</t>
        </is>
      </c>
      <c r="H5" s="22" t="inlineStr">
        <is>
          <t>FR-04</t>
        </is>
      </c>
      <c r="I5" s="22" t="inlineStr">
        <is>
          <t>UC-02</t>
        </is>
      </c>
      <c r="J5" s="22" t="inlineStr">
        <is>
          <t>Bắt buộc</t>
        </is>
      </c>
      <c r="K5" s="22" t="inlineStr">
        <is>
          <t>Sprint 1</t>
        </is>
      </c>
      <c r="L5" s="22" t="n">
        <v>3</v>
      </c>
      <c r="M5" s="22" t="inlineStr">
        <is>
          <t>Hoàn thành</t>
        </is>
      </c>
    </row>
    <row r="6" ht="34.5" customHeight="1" s="18">
      <c r="A6" s="20" t="inlineStr">
        <is>
          <t>US-05</t>
        </is>
      </c>
      <c r="B6" s="21" t="inlineStr">
        <is>
          <t>E1. Tài khoản và phân quyền</t>
        </is>
      </c>
      <c r="C6" s="21" t="inlineStr">
        <is>
          <t>Người dùng có tài khoản</t>
        </is>
      </c>
      <c r="D6" s="21" t="inlineStr">
        <is>
          <t>đăng xuất khỏi hệ thống</t>
        </is>
      </c>
      <c r="E6" s="21" t="inlineStr">
        <is>
          <t>người khác dùng chung thiết bị không vào được tài khoản của tôi</t>
        </is>
      </c>
      <c r="F6" s="21">
        <f>"Là "&amp;LOWER(LEFT(C6,1))&amp;MID(C6,2,100)&amp;", tôi muốn "&amp;D6&amp;", để "&amp;E6&amp;"."</f>
        <v/>
      </c>
      <c r="G6" s="21" t="inlineStr">
        <is>
          <t>1. Cho tôi đã đăng nhập, khi bấm "Đăng xuất", thì phiên kết thúc và tôi về trang chủ.
2. Sau khi đăng xuất, khi bấm nút Quay lại của trình duyệt, thì không xem lại được trang quản lý.</t>
        </is>
      </c>
      <c r="H6" s="22" t="inlineStr">
        <is>
          <t>FR-03</t>
        </is>
      </c>
      <c r="I6" s="22" t="inlineStr">
        <is>
          <t>UC-03</t>
        </is>
      </c>
      <c r="J6" s="22" t="inlineStr">
        <is>
          <t>Bắt buộc</t>
        </is>
      </c>
      <c r="K6" s="22" t="inlineStr">
        <is>
          <t>Sprint 1</t>
        </is>
      </c>
      <c r="L6" s="22" t="n">
        <v>1</v>
      </c>
      <c r="M6" s="22" t="inlineStr">
        <is>
          <t>Hoàn thành</t>
        </is>
      </c>
    </row>
    <row r="7" ht="34.5" customHeight="1" s="18">
      <c r="A7" s="20" t="inlineStr">
        <is>
          <t>US-06</t>
        </is>
      </c>
      <c r="B7" s="21" t="inlineStr">
        <is>
          <t>E1. Tài khoản và phân quyền</t>
        </is>
      </c>
      <c r="C7" s="21" t="inlineStr">
        <is>
          <t>Người dùng có tài khoản</t>
        </is>
      </c>
      <c r="D7" s="21" t="inlineStr">
        <is>
          <t>cập nhật họ tên, số điện thoại và đổi mật khẩu</t>
        </is>
      </c>
      <c r="E7" s="21" t="inlineStr">
        <is>
          <t>thông tin luôn đúng và tài khoản được an toàn</t>
        </is>
      </c>
      <c r="F7" s="21">
        <f>"Là "&amp;LOWER(LEFT(C7,1))&amp;MID(C7,2,100)&amp;", tôi muốn "&amp;D7&amp;", để "&amp;E7&amp;"."</f>
        <v/>
      </c>
      <c r="G7" s="21" t="inlineStr">
        <is>
          <t>1. Cho thông tin hợp lệ, khi tôi bấm "Lưu", thì hệ thống lưu và báo thành công.
2. Cho tôi đổi mật khẩu, khi nhập sai mật khẩu cũ, thì hệ thống báo lỗi và không đổi.
3. Mật khẩu mới phải từ 8 ký tự và nhập lại khớp.</t>
        </is>
      </c>
      <c r="H7" s="22" t="inlineStr">
        <is>
          <t>FR-05</t>
        </is>
      </c>
      <c r="I7" s="22" t="inlineStr">
        <is>
          <t>UC-04</t>
        </is>
      </c>
      <c r="J7" s="22" t="inlineStr">
        <is>
          <t>Bắt buộc</t>
        </is>
      </c>
      <c r="K7" s="22" t="inlineStr">
        <is>
          <t>Sprint 1</t>
        </is>
      </c>
      <c r="L7" s="22" t="n">
        <v>2</v>
      </c>
      <c r="M7" s="22" t="inlineStr">
        <is>
          <t>Hoàn thành</t>
        </is>
      </c>
    </row>
    <row r="8" ht="79.5" customHeight="1" s="18">
      <c r="A8" s="20" t="inlineStr">
        <is>
          <t>US-07</t>
        </is>
      </c>
      <c r="B8" s="21" t="inlineStr">
        <is>
          <t>E2. Quét QR và xem menu</t>
        </is>
      </c>
      <c r="C8" s="21" t="inlineStr">
        <is>
          <t>Khách hàng</t>
        </is>
      </c>
      <c r="D8" s="21" t="inlineStr">
        <is>
          <t>quét mã QR tại bàn để mở menu của quán với số bàn gắn sẵn</t>
        </is>
      </c>
      <c r="E8" s="21" t="inlineStr">
        <is>
          <t>gọi món mà không cần cài ứng dụng hay đăng nhập</t>
        </is>
      </c>
      <c r="F8" s="21">
        <f>"Là "&amp;LOWER(LEFT(C8,1))&amp;MID(C8,2,100)&amp;", tôi muốn "&amp;D8&amp;", để "&amp;E8&amp;"."</f>
        <v/>
      </c>
      <c r="G8" s="21" t="inlineStr">
        <is>
          <t>1. Cho mã QR hợp lệ, khi tôi quét bằng camera, thì menu của quán hiển thị, đầu trang có tên quán và số bàn.
2. Tôi không bị yêu cầu đăng nhập hay cài ứng dụng.
3. Cho mã QR sai hoặc đã bị thay, khi tôi quét, thì hệ thống báo "Mã QR không hợp lệ, vui lòng quét lại hoặc nhờ nhân viên hỗ trợ".
4. Cho quán chưa duyệt, bị khóa hoặc ngoài giờ mở cửa, khi tôi quét, thì hệ thống báo "Quán tạm ngưng nhận món" và không cho gọi món.</t>
        </is>
      </c>
      <c r="H8" s="22" t="inlineStr">
        <is>
          <t>FR-10</t>
        </is>
      </c>
      <c r="I8" s="22" t="inlineStr">
        <is>
          <t>UC-05</t>
        </is>
      </c>
      <c r="J8" s="22" t="inlineStr">
        <is>
          <t>Bắt buộc</t>
        </is>
      </c>
      <c r="K8" s="22" t="inlineStr">
        <is>
          <t>Sprint 1</t>
        </is>
      </c>
      <c r="L8" s="22" t="n">
        <v>5</v>
      </c>
      <c r="M8" s="22" t="inlineStr">
        <is>
          <t>Hoàn thành</t>
        </is>
      </c>
    </row>
    <row r="9" ht="57" customHeight="1" s="18">
      <c r="A9" s="20" t="inlineStr">
        <is>
          <t>US-08</t>
        </is>
      </c>
      <c r="B9" s="21" t="inlineStr">
        <is>
          <t>E2. Quét QR và xem menu</t>
        </is>
      </c>
      <c r="C9" s="21" t="inlineStr">
        <is>
          <t>Khách hàng</t>
        </is>
      </c>
      <c r="D9" s="21" t="inlineStr">
        <is>
          <t>xem menu theo danh mục với giá, ảnh và trạng thái còn hoặc hết</t>
        </is>
      </c>
      <c r="E9" s="21" t="inlineStr">
        <is>
          <t>biết quán có món gì và chọn món phù hợp</t>
        </is>
      </c>
      <c r="F9" s="21">
        <f>"Là "&amp;LOWER(LEFT(C9,1))&amp;MID(C9,2,100)&amp;", tôi muốn "&amp;D9&amp;", để "&amp;E9&amp;"."</f>
        <v/>
      </c>
      <c r="G9" s="21" t="inlineStr">
        <is>
          <t>1. Mỗi món hiển thị tên, giá và ảnh.
2. Cho món đang Hết, khi tôi xem menu, thì món hiển thị mờ, có nhãn "Hết món" và không có nút thêm vào giỏ.
3. Menu hiển thị đúng trên màn hình rộng 360 px, không phải cuộn ngang.
4. Menu 100 món hiển thị đầy đủ trong tối đa 3 giây trên mạng 4G.</t>
        </is>
      </c>
      <c r="H9" s="22" t="inlineStr">
        <is>
          <t>FR-11</t>
        </is>
      </c>
      <c r="I9" s="22" t="inlineStr">
        <is>
          <t>UC-06</t>
        </is>
      </c>
      <c r="J9" s="22" t="inlineStr">
        <is>
          <t>Bắt buộc</t>
        </is>
      </c>
      <c r="K9" s="22" t="inlineStr">
        <is>
          <t>Sprint 1</t>
        </is>
      </c>
      <c r="L9" s="22" t="n">
        <v>3</v>
      </c>
      <c r="M9" s="22" t="inlineStr">
        <is>
          <t>Hoàn thành</t>
        </is>
      </c>
    </row>
    <row r="10" ht="68.25" customHeight="1" s="18">
      <c r="A10" s="20" t="inlineStr">
        <is>
          <t>US-09</t>
        </is>
      </c>
      <c r="B10" s="21" t="inlineStr">
        <is>
          <t>E2. Quét QR và xem menu</t>
        </is>
      </c>
      <c r="C10" s="21" t="inlineStr">
        <is>
          <t>Khách hàng</t>
        </is>
      </c>
      <c r="D10" s="21" t="inlineStr">
        <is>
          <t>tìm món theo tên và lọc theo danh mục</t>
        </is>
      </c>
      <c r="E10" s="21" t="inlineStr">
        <is>
          <t>nhanh chóng tìm được món muốn gọi</t>
        </is>
      </c>
      <c r="F10" s="21">
        <f>"Là "&amp;LOWER(LEFT(C10,1))&amp;MID(C10,2,100)&amp;", tôi muốn "&amp;D10&amp;", để "&amp;E10&amp;"."</f>
        <v/>
      </c>
      <c r="G10" s="21" t="inlineStr">
        <is>
          <t>1. Cho tôi nhập từ khóa, khi tìm kiếm, thì chỉ hiện các món có tên chứa từ khóa (không phân biệt chữ hoa, chữ thường).
2. Cho từ khóa không khớp món nào, khi tìm kiếm, thì hệ thống báo "Không tìm thấy món phù hợp".
3. Cho tôi chọn một danh mục, thì chỉ hiện món thuộc danh mục đó; chọn "Tất cả" thì quay lại danh sách đầy đủ.</t>
        </is>
      </c>
      <c r="H10" s="22" t="inlineStr">
        <is>
          <t>FR-12, FR-13</t>
        </is>
      </c>
      <c r="I10" s="22" t="inlineStr">
        <is>
          <t>UC-07</t>
        </is>
      </c>
      <c r="J10" s="22" t="inlineStr">
        <is>
          <t>Bắt buộc</t>
        </is>
      </c>
      <c r="K10" s="22" t="inlineStr">
        <is>
          <t>Sprint 1</t>
        </is>
      </c>
      <c r="L10" s="22" t="n">
        <v>2</v>
      </c>
      <c r="M10" s="22" t="inlineStr">
        <is>
          <t>Hoàn thành</t>
        </is>
      </c>
    </row>
    <row r="11" ht="57" customHeight="1" s="18">
      <c r="A11" s="20" t="inlineStr">
        <is>
          <t>US-10</t>
        </is>
      </c>
      <c r="B11" s="21" t="inlineStr">
        <is>
          <t>E3. Giỏ hàng và gửi đơn</t>
        </is>
      </c>
      <c r="C11" s="21" t="inlineStr">
        <is>
          <t>Khách hàng</t>
        </is>
      </c>
      <c r="D11" s="21" t="inlineStr">
        <is>
          <t>chọn món kèm size, topping, số lượng và ghi chú</t>
        </is>
      </c>
      <c r="E11" s="21" t="inlineStr">
        <is>
          <t>nhận đúng món mình thích</t>
        </is>
      </c>
      <c r="F11" s="21">
        <f>"Là "&amp;LOWER(LEFT(C11,1))&amp;MID(C11,2,100)&amp;", tôi muốn "&amp;D11&amp;", để "&amp;E11&amp;"."</f>
        <v/>
      </c>
      <c r="G11" s="21" t="inlineStr">
        <is>
          <t>1. Cho món có tùy chọn, khi tôi bấm vào món, thì cửa sổ chọn hiển thị các nhóm tùy chọn kèm giá cộng thêm và thành tiền cập nhật theo lựa chọn.
2. Cho nhóm tùy chọn bắt buộc chưa chọn, khi tôi bấm thêm vào giỏ, thì hệ thống báo lỗi tại nhóm đó và không thêm.
3. Số lượng chỉ được từ 1 đến 99.</t>
        </is>
      </c>
      <c r="H11" s="22" t="inlineStr">
        <is>
          <t>FR-14</t>
        </is>
      </c>
      <c r="I11" s="22" t="inlineStr">
        <is>
          <t>UC-08</t>
        </is>
      </c>
      <c r="J11" s="22" t="inlineStr">
        <is>
          <t>Bắt buộc</t>
        </is>
      </c>
      <c r="K11" s="22" t="inlineStr">
        <is>
          <t>Sprint 2</t>
        </is>
      </c>
      <c r="L11" s="22" t="n">
        <v>5</v>
      </c>
      <c r="M11" s="22" t="inlineStr">
        <is>
          <t>Hoàn thành</t>
        </is>
      </c>
    </row>
    <row r="12" ht="79.5" customHeight="1" s="18">
      <c r="A12" s="20" t="inlineStr">
        <is>
          <t>US-11</t>
        </is>
      </c>
      <c r="B12" s="21" t="inlineStr">
        <is>
          <t>E3. Giỏ hàng và gửi đơn</t>
        </is>
      </c>
      <c r="C12" s="21" t="inlineStr">
        <is>
          <t>Khách hàng</t>
        </is>
      </c>
      <c r="D12" s="21" t="inlineStr">
        <is>
          <t>thêm món vào giỏ hàng</t>
        </is>
      </c>
      <c r="E12" s="21" t="inlineStr">
        <is>
          <t>gom nhiều món trước khi gửi đơn</t>
        </is>
      </c>
      <c r="F12" s="21">
        <f>"Là "&amp;LOWER(LEFT(C12,1))&amp;MID(C12,2,100)&amp;", tôi muốn "&amp;D12&amp;", để "&amp;E12&amp;"."</f>
        <v/>
      </c>
      <c r="G12" s="21" t="inlineStr">
        <is>
          <t>1. Cho món còn hàng, khi tôi bấm thêm vào giỏ, thì số món trên biểu tượng giỏ tăng lên.
2. Cho món đã hết, khi tôi cố thêm, thì hệ thống không cho thêm.
3. Cho cùng món và cùng tùy chọn đã có trong giỏ, khi tôi thêm lại, thì số lượng được cộng dồn.
4. Cho tôi quét mã QR của quán hoặc bàn khác, thì giỏ cũ bị xóa và hệ thống thông báo.</t>
        </is>
      </c>
      <c r="H12" s="22" t="inlineStr">
        <is>
          <t>FR-15</t>
        </is>
      </c>
      <c r="I12" s="22" t="inlineStr">
        <is>
          <t>UC-08</t>
        </is>
      </c>
      <c r="J12" s="22" t="inlineStr">
        <is>
          <t>Bắt buộc</t>
        </is>
      </c>
      <c r="K12" s="22" t="inlineStr">
        <is>
          <t>Sprint 2</t>
        </is>
      </c>
      <c r="L12" s="22" t="n">
        <v>3</v>
      </c>
      <c r="M12" s="22" t="inlineStr">
        <is>
          <t>Hoàn thành</t>
        </is>
      </c>
    </row>
    <row r="13" ht="45.75" customHeight="1" s="18">
      <c r="A13" s="20" t="inlineStr">
        <is>
          <t>US-12</t>
        </is>
      </c>
      <c r="B13" s="21" t="inlineStr">
        <is>
          <t>E3. Giỏ hàng và gửi đơn</t>
        </is>
      </c>
      <c r="C13" s="21" t="inlineStr">
        <is>
          <t>Khách hàng</t>
        </is>
      </c>
      <c r="D13" s="21" t="inlineStr">
        <is>
          <t>xem và chỉnh giỏ hàng (đổi số lượng, sửa tùy chọn, xóa món)</t>
        </is>
      </c>
      <c r="E13" s="21" t="inlineStr">
        <is>
          <t>chắc chắn đúng món trước khi gửi đơn</t>
        </is>
      </c>
      <c r="F13" s="21">
        <f>"Là "&amp;LOWER(LEFT(C13,1))&amp;MID(C13,2,100)&amp;", tôi muốn "&amp;D13&amp;", để "&amp;E13&amp;"."</f>
        <v/>
      </c>
      <c r="G13" s="21" t="inlineStr">
        <is>
          <t>1. Giỏ hiển thị từng món, tùy chọn, đơn giá, số lượng, thành tiền và tạm tính.
2. Khi tôi đổi số lượng hoặc xóa món, thì tạm tính cập nhật ngay.
3. Cho giỏ trống, thì hệ thống báo "Giỏ hàng trống" và có nút quay lại menu.
4. Cho tôi tải lại trang, thì giỏ vẫn còn nguyên.</t>
        </is>
      </c>
      <c r="H13" s="22" t="inlineStr">
        <is>
          <t>FR-16</t>
        </is>
      </c>
      <c r="I13" s="22" t="inlineStr">
        <is>
          <t>UC-09</t>
        </is>
      </c>
      <c r="J13" s="22" t="inlineStr">
        <is>
          <t>Bắt buộc</t>
        </is>
      </c>
      <c r="K13" s="22" t="inlineStr">
        <is>
          <t>Sprint 2</t>
        </is>
      </c>
      <c r="L13" s="22" t="n">
        <v>3</v>
      </c>
      <c r="M13" s="22" t="inlineStr">
        <is>
          <t>Hoàn thành</t>
        </is>
      </c>
    </row>
    <row r="14" ht="79.5" customHeight="1" s="18">
      <c r="A14" s="20" t="inlineStr">
        <is>
          <t>US-13</t>
        </is>
      </c>
      <c r="B14" s="21" t="inlineStr">
        <is>
          <t>E3. Giỏ hàng và gửi đơn</t>
        </is>
      </c>
      <c r="C14" s="21" t="inlineStr">
        <is>
          <t>Khách hàng</t>
        </is>
      </c>
      <c r="D14" s="21" t="inlineStr">
        <is>
          <t>gửi đơn gọi món tới quầy bếp kèm số bàn và ghi chú</t>
        </is>
      </c>
      <c r="E14" s="21" t="inlineStr">
        <is>
          <t>quán chuẩn bị món cho tôi mà không phải gọi nhân viên</t>
        </is>
      </c>
      <c r="F14" s="21">
        <f>"Là "&amp;LOWER(LEFT(C14,1))&amp;MID(C14,2,100)&amp;", tôi muốn "&amp;D14&amp;", để "&amp;E14&amp;"."</f>
        <v/>
      </c>
      <c r="G14" s="21" t="inlineStr">
        <is>
          <t>1. Cho giỏ có món và quán đang nhận đơn, khi tôi xác nhận, thì hệ thống tạo đơn Chờ xác nhận gắn đúng bàn, xóa giỏ và chuyển tôi tới trang theo dõi đơn.
2. Cho có món vừa hết, khi tôi xác nhận, thì hệ thống báo tên món và không tạo đơn.
3. Cho quán vừa đóng cửa hoặc bị khóa, khi tôi xác nhận, thì hệ thống báo "Quán tạm ngưng nhận món".
4. Cho tôi bấm xác nhận nhiều lần liên tiếp, thì chỉ có một đơn được tạo.
5. Giá món trong đơn là giá tại thời điểm gửi, đổi giá sau đó không ảnh hưởng.</t>
        </is>
      </c>
      <c r="H14" s="22" t="inlineStr">
        <is>
          <t>FR-17</t>
        </is>
      </c>
      <c r="I14" s="22" t="inlineStr">
        <is>
          <t>UC-10</t>
        </is>
      </c>
      <c r="J14" s="22" t="inlineStr">
        <is>
          <t>Bắt buộc</t>
        </is>
      </c>
      <c r="K14" s="22" t="inlineStr">
        <is>
          <t>Sprint 2</t>
        </is>
      </c>
      <c r="L14" s="22" t="n">
        <v>8</v>
      </c>
      <c r="M14" s="22" t="inlineStr">
        <is>
          <t>Hoàn thành</t>
        </is>
      </c>
    </row>
    <row r="15" ht="34.5" customHeight="1" s="18">
      <c r="A15" s="20" t="inlineStr">
        <is>
          <t>US-14</t>
        </is>
      </c>
      <c r="B15" s="21" t="inlineStr">
        <is>
          <t>E3. Giỏ hàng và gửi đơn</t>
        </is>
      </c>
      <c r="C15" s="21" t="inlineStr">
        <is>
          <t>Khách hàng</t>
        </is>
      </c>
      <c r="D15" s="21" t="inlineStr">
        <is>
          <t>gọi thêm món trong cùng lượt ngồi</t>
        </is>
      </c>
      <c r="E15" s="21" t="inlineStr">
        <is>
          <t>không phải gọi nhân viên mỗi lần muốn thêm món</t>
        </is>
      </c>
      <c r="F15" s="21">
        <f>"Là "&amp;LOWER(LEFT(C15,1))&amp;MID(C15,2,100)&amp;", tôi muốn "&amp;D15&amp;", để "&amp;E15&amp;"."</f>
        <v/>
      </c>
      <c r="G15" s="21" t="inlineStr">
        <is>
          <t>1. Cho tôi đã gửi một đơn, khi thêm món mới và gửi, thì hệ thống tạo một đơn mới cùng bàn và đơn cũ không bị ảnh hưởng.
2. Trang theo dõi hiển thị tất cả đơn của bàn trong lượt hiện tại.</t>
        </is>
      </c>
      <c r="H15" s="22" t="inlineStr">
        <is>
          <t>FR-17</t>
        </is>
      </c>
      <c r="I15" s="22" t="inlineStr">
        <is>
          <t>UC-10</t>
        </is>
      </c>
      <c r="J15" s="22" t="inlineStr">
        <is>
          <t>Bắt buộc</t>
        </is>
      </c>
      <c r="K15" s="22" t="inlineStr">
        <is>
          <t>Sprint 2</t>
        </is>
      </c>
      <c r="L15" s="22" t="n">
        <v>2</v>
      </c>
      <c r="M15" s="22" t="inlineStr">
        <is>
          <t>Hoàn thành</t>
        </is>
      </c>
    </row>
    <row r="16" ht="34.5" customHeight="1" s="18">
      <c r="A16" s="20" t="inlineStr">
        <is>
          <t>US-15</t>
        </is>
      </c>
      <c r="B16" s="21" t="inlineStr">
        <is>
          <t>E3. Giỏ hàng và gửi đơn</t>
        </is>
      </c>
      <c r="C16" s="21" t="inlineStr">
        <is>
          <t>Khách hàng</t>
        </is>
      </c>
      <c r="D16" s="21" t="inlineStr">
        <is>
          <t>chọn trả tiền mặt tại quầy hoặc chuyển khoản/QR khi gửi đơn</t>
        </is>
      </c>
      <c r="E16" s="21" t="inlineStr">
        <is>
          <t>thanh toán theo cách thuận tiện</t>
        </is>
      </c>
      <c r="F16" s="21">
        <f>"Là "&amp;LOWER(LEFT(C16,1))&amp;MID(C16,2,100)&amp;", tôi muốn "&amp;D16&amp;", để "&amp;E16&amp;"."</f>
        <v/>
      </c>
      <c r="G16" s="21" t="inlineStr">
        <is>
          <t>1. Màn hình xác nhận có hai lựa chọn: Tiền mặt (mặc định) và Chuyển khoản/QR.
2. Cho tôi chọn chuyển khoản, thì hệ thống hiển thị ảnh QR và số tài khoản của quán.
3. Cho quán chưa cấu hình tài khoản nhận tiền, thì chỉ hiển thị lựa chọn Tiền mặt.</t>
        </is>
      </c>
      <c r="H16" s="22" t="inlineStr">
        <is>
          <t>FR-18</t>
        </is>
      </c>
      <c r="I16" s="22" t="inlineStr">
        <is>
          <t>UC-11</t>
        </is>
      </c>
      <c r="J16" s="22" t="inlineStr">
        <is>
          <t>Bắt buộc</t>
        </is>
      </c>
      <c r="K16" s="22" t="inlineStr">
        <is>
          <t>Sprint 2</t>
        </is>
      </c>
      <c r="L16" s="22" t="n">
        <v>3</v>
      </c>
      <c r="M16" s="22" t="inlineStr">
        <is>
          <t>Hoàn thành</t>
        </is>
      </c>
    </row>
    <row r="17" ht="57" customHeight="1" s="18">
      <c r="A17" s="20" t="inlineStr">
        <is>
          <t>US-16</t>
        </is>
      </c>
      <c r="B17" s="21" t="inlineStr">
        <is>
          <t>E4. Theo dõi đơn</t>
        </is>
      </c>
      <c r="C17" s="21" t="inlineStr">
        <is>
          <t>Khách hàng</t>
        </is>
      </c>
      <c r="D17" s="21" t="inlineStr">
        <is>
          <t>xem trạng thái các đơn đã gọi và được cập nhật tự động</t>
        </is>
      </c>
      <c r="E17" s="21" t="inlineStr">
        <is>
          <t>biết món đang ở bước nào mà không cần hỏi nhân viên</t>
        </is>
      </c>
      <c r="F17" s="21">
        <f>"Là "&amp;LOWER(LEFT(C17,1))&amp;MID(C17,2,100)&amp;", tôi muốn "&amp;D17&amp;", để "&amp;E17&amp;"."</f>
        <v/>
      </c>
      <c r="G17" s="21" t="inlineStr">
        <is>
          <t>1. Trang hiển thị từng đơn với trạng thái: Chờ xác nhận, Đang làm, Hoàn thành hoặc Đã hủy.
2. Cho quán đổi trạng thái, thì trang của tôi tự cập nhật trong tối đa 10 giây mà không cần tải lại.
3. Cho đơn bị hủy, thì lý do (nếu có) được hiển thị.</t>
        </is>
      </c>
      <c r="H17" s="22" t="inlineStr">
        <is>
          <t>FR-19</t>
        </is>
      </c>
      <c r="I17" s="22" t="inlineStr">
        <is>
          <t>UC-12</t>
        </is>
      </c>
      <c r="J17" s="22" t="inlineStr">
        <is>
          <t>Bắt buộc</t>
        </is>
      </c>
      <c r="K17" s="22" t="inlineStr">
        <is>
          <t>Sprint 2</t>
        </is>
      </c>
      <c r="L17" s="22" t="n">
        <v>5</v>
      </c>
      <c r="M17" s="22" t="inlineStr">
        <is>
          <t>Hoàn thành</t>
        </is>
      </c>
    </row>
    <row r="18" ht="45.75" customHeight="1" s="18">
      <c r="A18" s="20" t="inlineStr">
        <is>
          <t>US-17</t>
        </is>
      </c>
      <c r="B18" s="21" t="inlineStr">
        <is>
          <t>E4. Theo dõi đơn</t>
        </is>
      </c>
      <c r="C18" s="21" t="inlineStr">
        <is>
          <t>Khách hàng</t>
        </is>
      </c>
      <c r="D18" s="21" t="inlineStr">
        <is>
          <t>hủy đơn khi quán chưa xác nhận</t>
        </is>
      </c>
      <c r="E18" s="21" t="inlineStr">
        <is>
          <t>sửa lại khi gọi nhầm món</t>
        </is>
      </c>
      <c r="F18" s="21">
        <f>"Là "&amp;LOWER(LEFT(C18,1))&amp;MID(C18,2,100)&amp;", tôi muốn "&amp;D18&amp;", để "&amp;E18&amp;"."</f>
        <v/>
      </c>
      <c r="G18" s="21" t="inlineStr">
        <is>
          <t>1. Cho đơn Chờ xác nhận, khi tôi bấm "Hủy đơn" và xác nhận, thì đơn chuyển sang Đã hủy và chủ quán thấy ngay.
2. Cho đơn từ trạng thái Đang làm trở đi, thì không có nút hủy; nếu gọi trực tiếp, hệ thống báo "Đơn đã được quán tiếp nhận, không thể hủy".</t>
        </is>
      </c>
      <c r="H18" s="22" t="inlineStr">
        <is>
          <t>FR-20</t>
        </is>
      </c>
      <c r="I18" s="22" t="inlineStr">
        <is>
          <t>UC-13</t>
        </is>
      </c>
      <c r="J18" s="22" t="inlineStr">
        <is>
          <t>Bắt buộc</t>
        </is>
      </c>
      <c r="K18" s="22" t="inlineStr">
        <is>
          <t>Sprint 2</t>
        </is>
      </c>
      <c r="L18" s="22" t="n">
        <v>2</v>
      </c>
      <c r="M18" s="22" t="inlineStr">
        <is>
          <t>Hoàn thành</t>
        </is>
      </c>
    </row>
    <row r="19" ht="45.75" customHeight="1" s="18">
      <c r="A19" s="20" t="inlineStr">
        <is>
          <t>US-18</t>
        </is>
      </c>
      <c r="B19" s="21" t="inlineStr">
        <is>
          <t>E5. Tiện ích cho khách</t>
        </is>
      </c>
      <c r="C19" s="21" t="inlineStr">
        <is>
          <t>Khách hàng có tài khoản</t>
        </is>
      </c>
      <c r="D19" s="21" t="inlineStr">
        <is>
          <t>xem lịch sử các đơn đã gọi</t>
        </is>
      </c>
      <c r="E19" s="21" t="inlineStr">
        <is>
          <t>tra lại những món mình từng dùng</t>
        </is>
      </c>
      <c r="F19" s="21">
        <f>"Là "&amp;LOWER(LEFT(C19,1))&amp;MID(C19,2,100)&amp;", tôi muốn "&amp;D19&amp;", để "&amp;E19&amp;"."</f>
        <v/>
      </c>
      <c r="G19" s="21" t="inlineStr">
        <is>
          <t>1. Cho tôi đã đăng nhập, khi mở "Lịch sử", thì thấy danh sách đơn mới nhất trước.
2. Khi mở một đơn, thì thấy chi tiết món và tổng tiền.
3. Cho chưa có đơn nào, thì hệ thống báo "Chưa có đơn nào trong tài khoản".
4. Đơn đặt khi chưa đăng nhập có thể lưu vào tài khoản bằng mã riêng của đơn trên đúng trình duyệt đã đặt.</t>
        </is>
      </c>
      <c r="H19" s="22" t="inlineStr">
        <is>
          <t>FR-21</t>
        </is>
      </c>
      <c r="I19" s="22" t="inlineStr">
        <is>
          <t>UC-14</t>
        </is>
      </c>
      <c r="J19" s="22" t="inlineStr">
        <is>
          <t>Nâng cao</t>
        </is>
      </c>
      <c r="K19" s="22" t="inlineStr">
        <is>
          <t>Sprint 3</t>
        </is>
      </c>
      <c r="L19" s="22" t="n">
        <v>3</v>
      </c>
      <c r="M19" s="22" t="inlineStr">
        <is>
          <t>Hoàn thành</t>
        </is>
      </c>
    </row>
    <row r="20" ht="45.75" customHeight="1" s="18">
      <c r="A20" s="20" t="inlineStr">
        <is>
          <t>US-19</t>
        </is>
      </c>
      <c r="B20" s="21" t="inlineStr">
        <is>
          <t>E5. Tiện ích cho khách</t>
        </is>
      </c>
      <c r="C20" s="21" t="inlineStr">
        <is>
          <t>Khách hàng có tài khoản</t>
        </is>
      </c>
      <c r="D20" s="21" t="inlineStr">
        <is>
          <t>đặt lại các món của một đơn cũ</t>
        </is>
      </c>
      <c r="E20" s="21" t="inlineStr">
        <is>
          <t>gọi nhanh những món quen thuộc</t>
        </is>
      </c>
      <c r="F20" s="21">
        <f>"Là "&amp;LOWER(LEFT(C20,1))&amp;MID(C20,2,100)&amp;", tôi muốn "&amp;D20&amp;", để "&amp;E20&amp;"."</f>
        <v/>
      </c>
      <c r="G20" s="21" t="inlineStr">
        <is>
          <t>1. Cho tôi mở đơn cũ, khi bấm "Đặt lại", thì các món được thêm vào giỏ theo giá hiện tại.
2. Cho món đã hết hoặc không còn bán, thì hệ thống bỏ qua món đó và thông báo cho tôi.</t>
        </is>
      </c>
      <c r="H20" s="22" t="inlineStr">
        <is>
          <t>FR-22</t>
        </is>
      </c>
      <c r="I20" s="22" t="inlineStr">
        <is>
          <t>UC-15</t>
        </is>
      </c>
      <c r="J20" s="22" t="inlineStr">
        <is>
          <t>Nâng cao</t>
        </is>
      </c>
      <c r="K20" s="22" t="inlineStr">
        <is>
          <t>Sprint 3</t>
        </is>
      </c>
      <c r="L20" s="22" t="n">
        <v>2</v>
      </c>
      <c r="M20" s="22" t="inlineStr">
        <is>
          <t>Hoàn thành</t>
        </is>
      </c>
    </row>
    <row r="21" ht="45.75" customHeight="1" s="18">
      <c r="A21" s="20" t="inlineStr">
        <is>
          <t>US-20</t>
        </is>
      </c>
      <c r="B21" s="21" t="inlineStr">
        <is>
          <t>E5. Tiện ích cho khách</t>
        </is>
      </c>
      <c r="C21" s="21" t="inlineStr">
        <is>
          <t>Khách hàng</t>
        </is>
      </c>
      <c r="D21" s="21" t="inlineStr">
        <is>
          <t>nhập mã giảm giá khi gửi đơn</t>
        </is>
      </c>
      <c r="E21" s="21" t="inlineStr">
        <is>
          <t>được giảm tiền theo ưu đãi của quán</t>
        </is>
      </c>
      <c r="F21" s="21">
        <f>"Là "&amp;LOWER(LEFT(C21,1))&amp;MID(C21,2,100)&amp;", tôi muốn "&amp;D21&amp;", để "&amp;E21&amp;"."</f>
        <v/>
      </c>
      <c r="G21" s="21" t="inlineStr">
        <is>
          <t>1. Cho mã hợp lệ, khi tôi áp dụng, thì tổng tiền được trừ và hiển thị lại.
2. Cho mã hết hạn, chưa đủ giá trị tối thiểu hoặc hết lượt, thì hệ thống báo rõ lý do và không giảm.
3. Mỗi đơn chỉ dùng tối đa một mã.</t>
        </is>
      </c>
      <c r="H21" s="22" t="inlineStr">
        <is>
          <t>FR-23</t>
        </is>
      </c>
      <c r="I21" s="22" t="inlineStr">
        <is>
          <t>UC-16</t>
        </is>
      </c>
      <c r="J21" s="22" t="inlineStr">
        <is>
          <t>Nâng cao</t>
        </is>
      </c>
      <c r="K21" s="22" t="inlineStr">
        <is>
          <t>Sprint 3</t>
        </is>
      </c>
      <c r="L21" s="22" t="n">
        <v>3</v>
      </c>
      <c r="M21" s="22" t="inlineStr">
        <is>
          <t>Hoàn thành</t>
        </is>
      </c>
    </row>
    <row r="22" ht="34.5" customHeight="1" s="18">
      <c r="A22" s="20" t="inlineStr">
        <is>
          <t>US-21</t>
        </is>
      </c>
      <c r="B22" s="21" t="inlineStr">
        <is>
          <t>E5. Tiện ích cho khách</t>
        </is>
      </c>
      <c r="C22" s="21" t="inlineStr">
        <is>
          <t>Khách hàng</t>
        </is>
      </c>
      <c r="D22" s="21" t="inlineStr">
        <is>
          <t>đánh giá món và quán sau khi đơn hoàn thành</t>
        </is>
      </c>
      <c r="E22" s="21" t="inlineStr">
        <is>
          <t>góp ý để quán cải thiện và giúp khách khác chọn món</t>
        </is>
      </c>
      <c r="F22" s="21">
        <f>"Là "&amp;LOWER(LEFT(C22,1))&amp;MID(C22,2,100)&amp;", tôi muốn "&amp;D22&amp;", để "&amp;E22&amp;"."</f>
        <v/>
      </c>
      <c r="G22" s="21" t="inlineStr">
        <is>
          <t>1. Cho đơn Hoàn thành chưa đánh giá, khi tôi chọn 1 đến 5 sao và gửi, thì đánh giá được lưu.
2. Cho đơn chưa Hoàn thành hoặc đã đánh giá, thì không hiển thị nút đánh giá.</t>
        </is>
      </c>
      <c r="H22" s="22" t="inlineStr">
        <is>
          <t>FR-24</t>
        </is>
      </c>
      <c r="I22" s="22" t="inlineStr">
        <is>
          <t>UC-17</t>
        </is>
      </c>
      <c r="J22" s="22" t="inlineStr">
        <is>
          <t>Nâng cao</t>
        </is>
      </c>
      <c r="K22" s="22" t="inlineStr">
        <is>
          <t>Sprint 3</t>
        </is>
      </c>
      <c r="L22" s="22" t="n">
        <v>3</v>
      </c>
      <c r="M22" s="22" t="inlineStr">
        <is>
          <t>Hoàn thành</t>
        </is>
      </c>
    </row>
    <row r="23" ht="34.5" customHeight="1" s="18">
      <c r="A23" s="20" t="inlineStr">
        <is>
          <t>US-22</t>
        </is>
      </c>
      <c r="B23" s="21" t="inlineStr">
        <is>
          <t>E5. Tiện ích cho khách</t>
        </is>
      </c>
      <c r="C23" s="21" t="inlineStr">
        <is>
          <t>Khách hàng</t>
        </is>
      </c>
      <c r="D23" s="21" t="inlineStr">
        <is>
          <t>xem gợi ý các món bán chạy của quán</t>
        </is>
      </c>
      <c r="E23" s="21" t="inlineStr">
        <is>
          <t>chọn món nhanh hơn khi chưa biết gọi gì</t>
        </is>
      </c>
      <c r="F23" s="21">
        <f>"Là "&amp;LOWER(LEFT(C23,1))&amp;MID(C23,2,100)&amp;", tôi muốn "&amp;D23&amp;", để "&amp;E23&amp;"."</f>
        <v/>
      </c>
      <c r="G23" s="21" t="inlineStr">
        <is>
          <t>1. Cho quán có đủ dữ liệu bán hàng, thì đầu menu hiển thị mục "Gợi ý cho bạn".
2. Cho khách có tài khoản, thì gợi ý có thêm các món đã gọi nhiều lần.
3. Cho chưa đủ dữ liệu, thì không hiển thị mục gợi ý.</t>
        </is>
      </c>
      <c r="H23" s="22" t="inlineStr">
        <is>
          <t>FR-25</t>
        </is>
      </c>
      <c r="I23" s="22" t="inlineStr">
        <is>
          <t>UC-18</t>
        </is>
      </c>
      <c r="J23" s="22" t="inlineStr">
        <is>
          <t>Nâng cao</t>
        </is>
      </c>
      <c r="K23" s="22" t="inlineStr">
        <is>
          <t>Sprint 3</t>
        </is>
      </c>
      <c r="L23" s="22" t="n">
        <v>3</v>
      </c>
      <c r="M23" s="22" t="inlineStr">
        <is>
          <t>Hoàn thành</t>
        </is>
      </c>
    </row>
    <row r="24" ht="45.75" customHeight="1" s="18">
      <c r="A24" s="20" t="inlineStr">
        <is>
          <t>US-23</t>
        </is>
      </c>
      <c r="B24" s="21" t="inlineStr">
        <is>
          <t>E5. Tiện ích cho khách</t>
        </is>
      </c>
      <c r="C24" s="21" t="inlineStr">
        <is>
          <t>Khách hàng</t>
        </is>
      </c>
      <c r="D24" s="21" t="inlineStr">
        <is>
          <t>gửi khiếu nại về một đơn hàng</t>
        </is>
      </c>
      <c r="E24" s="21" t="inlineStr">
        <is>
          <t>vấn đề của tôi được quán và quản trị viên xử lý</t>
        </is>
      </c>
      <c r="F24" s="21">
        <f>"Là "&amp;LOWER(LEFT(C24,1))&amp;MID(C24,2,100)&amp;", tôi muốn "&amp;D24&amp;", để "&amp;E24&amp;"."</f>
        <v/>
      </c>
      <c r="G24" s="21" t="inlineStr">
        <is>
          <t>1. Cho tôi mở một đơn, khi nhập nội dung (10 đến 500 ký tự) và gửi, thì khiếu nại được lưu ở trạng thái Mới.
2. Cho nội dung quá ngắn hoặc trống, thì hệ thống báo lỗi và không gửi.
3. Tôi xem được trạng thái xử lý và phản hồi của chủ quán.</t>
        </is>
      </c>
      <c r="H24" s="22" t="inlineStr">
        <is>
          <t>FR-26</t>
        </is>
      </c>
      <c r="I24" s="22" t="inlineStr">
        <is>
          <t>UC-19</t>
        </is>
      </c>
      <c r="J24" s="22" t="inlineStr">
        <is>
          <t>Nâng cao</t>
        </is>
      </c>
      <c r="K24" s="22" t="inlineStr">
        <is>
          <t>Sprint 3</t>
        </is>
      </c>
      <c r="L24" s="22" t="n">
        <v>3</v>
      </c>
      <c r="M24" s="22" t="inlineStr">
        <is>
          <t>Hoàn thành</t>
        </is>
      </c>
    </row>
    <row r="25" ht="34.5" customHeight="1" s="18">
      <c r="A25" s="20" t="inlineStr">
        <is>
          <t>US-24</t>
        </is>
      </c>
      <c r="B25" s="21" t="inlineStr">
        <is>
          <t>E5. Tiện ích cho khách</t>
        </is>
      </c>
      <c r="C25" s="21" t="inlineStr">
        <is>
          <t>Khách hàng</t>
        </is>
      </c>
      <c r="D25" s="21" t="inlineStr">
        <is>
          <t>thanh toán trực tuyến qua cổng thanh toán</t>
        </is>
      </c>
      <c r="E25" s="21" t="inlineStr">
        <is>
          <t>không phải ra quầy trả tiền</t>
        </is>
      </c>
      <c r="F25" s="21">
        <f>"Là "&amp;LOWER(LEFT(C25,1))&amp;MID(C25,2,100)&amp;", tôi muốn "&amp;D25&amp;", để "&amp;E25&amp;"."</f>
        <v/>
      </c>
      <c r="G25" s="21" t="inlineStr">
        <is>
          <t>1. Cho tôi chọn thanh toán trực tuyến, thì hệ thống chuyển tới cổng và cập nhật trạng thái thanh toán khi hoàn tất.
2. Cho thanh toán thất bại, thì đơn giữ Chưa thanh toán và tôi chọn lại phương thức.</t>
        </is>
      </c>
      <c r="H25" s="22" t="inlineStr">
        <is>
          <t>FR-27</t>
        </is>
      </c>
      <c r="I25" s="22" t="inlineStr">
        <is>
          <t>UC-20</t>
        </is>
      </c>
      <c r="J25" s="22" t="inlineStr">
        <is>
          <t>Nâng cao</t>
        </is>
      </c>
      <c r="K25" s="22" t="inlineStr">
        <is>
          <t>Mở rộng</t>
        </is>
      </c>
      <c r="L25" s="22" t="n">
        <v>8</v>
      </c>
      <c r="M25" s="22" t="inlineStr">
        <is>
          <t>Chưa làm</t>
        </is>
      </c>
    </row>
    <row r="26" ht="57" customHeight="1" s="18">
      <c r="A26" s="20" t="inlineStr">
        <is>
          <t>US-25</t>
        </is>
      </c>
      <c r="B26" s="21" t="inlineStr">
        <is>
          <t>E6. Thiết lập quán</t>
        </is>
      </c>
      <c r="C26" s="21" t="inlineStr">
        <is>
          <t>Chủ quán</t>
        </is>
      </c>
      <c r="D26" s="21" t="inlineStr">
        <is>
          <t>đăng ký thông tin quán (tên, địa chỉ, số điện thoại, ảnh)</t>
        </is>
      </c>
      <c r="E26" s="21" t="inlineStr">
        <is>
          <t>được quản trị viên duyệt và bắt đầu nhận đơn</t>
        </is>
      </c>
      <c r="F26" s="21">
        <f>"Là "&amp;LOWER(LEFT(C26,1))&amp;MID(C26,2,100)&amp;", tôi muốn "&amp;D26&amp;", để "&amp;E26&amp;"."</f>
        <v/>
      </c>
      <c r="G26" s="21" t="inlineStr">
        <is>
          <t>1. Cho thông tin đủ và hợp lệ, khi tôi gửi, thì quán được tạo ở trạng thái Chờ duyệt và tôi thấy "Quán đang chờ duyệt".
2. Cho quán Chờ duyệt, thì mã QR của quán chưa nhận đơn.
3. Cho thiếu trường bắt buộc, thì hệ thống báo lỗi tại ô tương ứng.
4. Ảnh chỉ nhận JPG, PNG, WebP và tối đa 2 MB.</t>
        </is>
      </c>
      <c r="H26" s="22" t="inlineStr">
        <is>
          <t>FR-30</t>
        </is>
      </c>
      <c r="I26" s="22" t="inlineStr">
        <is>
          <t>UC-21</t>
        </is>
      </c>
      <c r="J26" s="22" t="inlineStr">
        <is>
          <t>Bắt buộc</t>
        </is>
      </c>
      <c r="K26" s="22" t="inlineStr">
        <is>
          <t>Sprint 1</t>
        </is>
      </c>
      <c r="L26" s="22" t="n">
        <v>3</v>
      </c>
      <c r="M26" s="22" t="inlineStr">
        <is>
          <t>Hoàn thành</t>
        </is>
      </c>
    </row>
    <row r="27" ht="45.75" customHeight="1" s="18">
      <c r="A27" s="20" t="inlineStr">
        <is>
          <t>US-26</t>
        </is>
      </c>
      <c r="B27" s="21" t="inlineStr">
        <is>
          <t>E6. Thiết lập quán</t>
        </is>
      </c>
      <c r="C27" s="21" t="inlineStr">
        <is>
          <t>Chủ quán</t>
        </is>
      </c>
      <c r="D27" s="21" t="inlineStr">
        <is>
          <t>cập nhật thông tin quán và giờ mở cửa</t>
        </is>
      </c>
      <c r="E27" s="21" t="inlineStr">
        <is>
          <t>khách thấy thông tin đúng và chỉ gọi món trong giờ quán phục vụ</t>
        </is>
      </c>
      <c r="F27" s="21">
        <f>"Là "&amp;LOWER(LEFT(C27,1))&amp;MID(C27,2,100)&amp;", tôi muốn "&amp;D27&amp;", để "&amp;E27&amp;"."</f>
        <v/>
      </c>
      <c r="G27" s="21" t="inlineStr">
        <is>
          <t>1. Cho tôi sửa thông tin và lưu, thì thay đổi hiển thị ngay.
2. Cho ngoài giờ mở cửa, khi khách quét mã QR, thì hệ thống báo "Quán tạm ngưng nhận món".
3. Cho giờ mở hoặc đóng cửa không hợp lệ, thì hệ thống báo lỗi.</t>
        </is>
      </c>
      <c r="H27" s="22" t="inlineStr">
        <is>
          <t>FR-31</t>
        </is>
      </c>
      <c r="I27" s="22" t="inlineStr">
        <is>
          <t>UC-22</t>
        </is>
      </c>
      <c r="J27" s="22" t="inlineStr">
        <is>
          <t>Bắt buộc</t>
        </is>
      </c>
      <c r="K27" s="22" t="inlineStr">
        <is>
          <t>Sprint 1</t>
        </is>
      </c>
      <c r="L27" s="22" t="n">
        <v>2</v>
      </c>
      <c r="M27" s="22" t="inlineStr">
        <is>
          <t>Hoàn thành</t>
        </is>
      </c>
    </row>
    <row r="28" ht="34.5" customHeight="1" s="18">
      <c r="A28" s="20" t="inlineStr">
        <is>
          <t>US-27</t>
        </is>
      </c>
      <c r="B28" s="21" t="inlineStr">
        <is>
          <t>E6. Thiết lập quán</t>
        </is>
      </c>
      <c r="C28" s="21" t="inlineStr">
        <is>
          <t>Chủ quán</t>
        </is>
      </c>
      <c r="D28" s="21" t="inlineStr">
        <is>
          <t>tải ảnh mã QR và nhập số tài khoản nhận chuyển khoản</t>
        </is>
      </c>
      <c r="E28" s="21" t="inlineStr">
        <is>
          <t>khách có thể chuyển khoản khi thanh toán</t>
        </is>
      </c>
      <c r="F28" s="21">
        <f>"Là "&amp;LOWER(LEFT(C28,1))&amp;MID(C28,2,100)&amp;", tôi muốn "&amp;D28&amp;", để "&amp;E28&amp;"."</f>
        <v/>
      </c>
      <c r="G28" s="21" t="inlineStr">
        <is>
          <t>1. Cho tôi tải ảnh QR hợp lệ và nhập số tài khoản, thì thông tin được lưu.
2. Khi khách chọn chuyển khoản, thì ảnh QR và số tài khoản hiển thị đúng.</t>
        </is>
      </c>
      <c r="H28" s="22" t="inlineStr">
        <is>
          <t>FR-32</t>
        </is>
      </c>
      <c r="I28" s="22" t="inlineStr">
        <is>
          <t>UC-22</t>
        </is>
      </c>
      <c r="J28" s="22" t="inlineStr">
        <is>
          <t>Bắt buộc</t>
        </is>
      </c>
      <c r="K28" s="22" t="inlineStr">
        <is>
          <t>Sprint 2</t>
        </is>
      </c>
      <c r="L28" s="22" t="n">
        <v>2</v>
      </c>
      <c r="M28" s="22" t="inlineStr">
        <is>
          <t>Hoàn thành</t>
        </is>
      </c>
    </row>
    <row r="29" ht="34.5" customHeight="1" s="18">
      <c r="A29" s="20" t="inlineStr">
        <is>
          <t>US-28</t>
        </is>
      </c>
      <c r="B29" s="21" t="inlineStr">
        <is>
          <t>E6. Thiết lập quán</t>
        </is>
      </c>
      <c r="C29" s="21" t="inlineStr">
        <is>
          <t>Chủ quán</t>
        </is>
      </c>
      <c r="D29" s="21" t="inlineStr">
        <is>
          <t>tạo danh sách bàn và sinh mã QR cho từng bàn</t>
        </is>
      </c>
      <c r="E29" s="21" t="inlineStr">
        <is>
          <t>khách quét QR ở bàn để gọi món</t>
        </is>
      </c>
      <c r="F29" s="21">
        <f>"Là "&amp;LOWER(LEFT(C29,1))&amp;MID(C29,2,100)&amp;", tôi muốn "&amp;D29&amp;", để "&amp;E29&amp;"."</f>
        <v/>
      </c>
      <c r="G29" s="21" t="inlineStr">
        <is>
          <t>1. Cho tôi thêm bàn với số bàn chưa trùng, thì hệ thống sinh mã QR duy nhất cho bàn.
2. Cho số bàn đã tồn tại trong quán, thì hệ thống báo lỗi.
3. Cho khách quét mã QR của bàn, thì menu mở đúng quán và đúng số bàn.</t>
        </is>
      </c>
      <c r="H29" s="22" t="inlineStr">
        <is>
          <t>FR-33</t>
        </is>
      </c>
      <c r="I29" s="22" t="inlineStr">
        <is>
          <t>UC-23</t>
        </is>
      </c>
      <c r="J29" s="22" t="inlineStr">
        <is>
          <t>Bắt buộc</t>
        </is>
      </c>
      <c r="K29" s="22" t="inlineStr">
        <is>
          <t>Sprint 1</t>
        </is>
      </c>
      <c r="L29" s="22" t="n">
        <v>5</v>
      </c>
      <c r="M29" s="22" t="inlineStr">
        <is>
          <t>Hoàn thành</t>
        </is>
      </c>
    </row>
    <row r="30" ht="34.5" customHeight="1" s="18">
      <c r="A30" s="20" t="inlineStr">
        <is>
          <t>US-29</t>
        </is>
      </c>
      <c r="B30" s="21" t="inlineStr">
        <is>
          <t>E6. Thiết lập quán</t>
        </is>
      </c>
      <c r="C30" s="21" t="inlineStr">
        <is>
          <t>Chủ quán</t>
        </is>
      </c>
      <c r="D30" s="21" t="inlineStr">
        <is>
          <t>tải về hoặc in mã QR của từng bàn và tạo lại mã khi cần</t>
        </is>
      </c>
      <c r="E30" s="21" t="inlineStr">
        <is>
          <t>dán lên bàn và đổi mã khi mã bị lộ hoặc hỏng</t>
        </is>
      </c>
      <c r="F30" s="21">
        <f>"Là "&amp;LOWER(LEFT(C30,1))&amp;MID(C30,2,100)&amp;", tôi muốn "&amp;D30&amp;", để "&amp;E30&amp;"."</f>
        <v/>
      </c>
      <c r="G30" s="21" t="inlineStr">
        <is>
          <t>1. Cho tôi tải mã QR, thì nhận ảnh PNG quét được khi in cỡ tối thiểu 4 x 4 cm.
2. Cho tôi in, thì trang in có số bàn bên dưới mã QR.
3. Cho tôi tạo lại mã và xác nhận, thì mã cũ lập tức không dùng được.</t>
        </is>
      </c>
      <c r="H30" s="22" t="inlineStr">
        <is>
          <t>FR-33</t>
        </is>
      </c>
      <c r="I30" s="22" t="inlineStr">
        <is>
          <t>UC-23</t>
        </is>
      </c>
      <c r="J30" s="22" t="inlineStr">
        <is>
          <t>Bắt buộc</t>
        </is>
      </c>
      <c r="K30" s="22" t="inlineStr">
        <is>
          <t>Sprint 1</t>
        </is>
      </c>
      <c r="L30" s="22" t="n">
        <v>3</v>
      </c>
      <c r="M30" s="22" t="inlineStr">
        <is>
          <t>Hoàn thành</t>
        </is>
      </c>
    </row>
    <row r="31" ht="34.5" customHeight="1" s="18">
      <c r="A31" s="20" t="inlineStr">
        <is>
          <t>US-30</t>
        </is>
      </c>
      <c r="B31" s="21" t="inlineStr">
        <is>
          <t>E7. Quản lý menu</t>
        </is>
      </c>
      <c r="C31" s="21" t="inlineStr">
        <is>
          <t>Chủ quán</t>
        </is>
      </c>
      <c r="D31" s="21" t="inlineStr">
        <is>
          <t>thêm món mới (tên, giá, ảnh, danh mục, mô tả)</t>
        </is>
      </c>
      <c r="E31" s="21" t="inlineStr">
        <is>
          <t>khách có món để chọn trong menu</t>
        </is>
      </c>
      <c r="F31" s="21">
        <f>"Là "&amp;LOWER(LEFT(C31,1))&amp;MID(C31,2,100)&amp;", tôi muốn "&amp;D31&amp;", để "&amp;E31&amp;"."</f>
        <v/>
      </c>
      <c r="G31" s="21" t="inlineStr">
        <is>
          <t>1. Cho thông tin hợp lệ, khi tôi lưu, thì món xuất hiện trong menu của quán.
2. Cho tên trống hoặc giá nhỏ hơn hoặc bằng 0, thì hệ thống báo lỗi.
3. Ảnh chỉ nhận JPG, PNG, WebP và tối đa 2 MB.</t>
        </is>
      </c>
      <c r="H31" s="22" t="inlineStr">
        <is>
          <t>FR-34</t>
        </is>
      </c>
      <c r="I31" s="22" t="inlineStr">
        <is>
          <t>UC-24</t>
        </is>
      </c>
      <c r="J31" s="22" t="inlineStr">
        <is>
          <t>Bắt buộc</t>
        </is>
      </c>
      <c r="K31" s="22" t="inlineStr">
        <is>
          <t>Sprint 1</t>
        </is>
      </c>
      <c r="L31" s="22" t="n">
        <v>3</v>
      </c>
      <c r="M31" s="22" t="inlineStr">
        <is>
          <t>Hoàn thành</t>
        </is>
      </c>
    </row>
    <row r="32" ht="34.5" customHeight="1" s="18">
      <c r="A32" s="20" t="inlineStr">
        <is>
          <t>US-31</t>
        </is>
      </c>
      <c r="B32" s="21" t="inlineStr">
        <is>
          <t>E7. Quản lý menu</t>
        </is>
      </c>
      <c r="C32" s="21" t="inlineStr">
        <is>
          <t>Chủ quán</t>
        </is>
      </c>
      <c r="D32" s="21" t="inlineStr">
        <is>
          <t>sửa thông tin món</t>
        </is>
      </c>
      <c r="E32" s="21" t="inlineStr">
        <is>
          <t>menu luôn đúng giá và nội dung mới nhất</t>
        </is>
      </c>
      <c r="F32" s="21">
        <f>"Là "&amp;LOWER(LEFT(C32,1))&amp;MID(C32,2,100)&amp;", tôi muốn "&amp;D32&amp;", để "&amp;E32&amp;"."</f>
        <v/>
      </c>
      <c r="G32" s="21" t="inlineStr">
        <is>
          <t>1. Cho tôi sửa và lưu, thì menu của khách cập nhật ngay.
2. Cho tôi đổi giá, thì các đơn đã gửi trước đó giữ nguyên giá cũ.
3. Cho món thuộc quán khác, thì hệ thống từ chối.</t>
        </is>
      </c>
      <c r="H32" s="22" t="inlineStr">
        <is>
          <t>FR-35</t>
        </is>
      </c>
      <c r="I32" s="22" t="inlineStr">
        <is>
          <t>UC-24</t>
        </is>
      </c>
      <c r="J32" s="22" t="inlineStr">
        <is>
          <t>Bắt buộc</t>
        </is>
      </c>
      <c r="K32" s="22" t="inlineStr">
        <is>
          <t>Sprint 1</t>
        </is>
      </c>
      <c r="L32" s="22" t="n">
        <v>2</v>
      </c>
      <c r="M32" s="22" t="inlineStr">
        <is>
          <t>Hoàn thành</t>
        </is>
      </c>
    </row>
    <row r="33" ht="34.5" customHeight="1" s="18">
      <c r="A33" s="20" t="inlineStr">
        <is>
          <t>US-32</t>
        </is>
      </c>
      <c r="B33" s="21" t="inlineStr">
        <is>
          <t>E7. Quản lý menu</t>
        </is>
      </c>
      <c r="C33" s="21" t="inlineStr">
        <is>
          <t>Chủ quán</t>
        </is>
      </c>
      <c r="D33" s="21" t="inlineStr">
        <is>
          <t>xóa món không còn bán</t>
        </is>
      </c>
      <c r="E33" s="21" t="inlineStr">
        <is>
          <t>menu gọn và không còn món cũ</t>
        </is>
      </c>
      <c r="F33" s="21">
        <f>"Là "&amp;LOWER(LEFT(C33,1))&amp;MID(C33,2,100)&amp;", tôi muốn "&amp;D33&amp;", để "&amp;E33&amp;"."</f>
        <v/>
      </c>
      <c r="G33" s="21" t="inlineStr">
        <is>
          <t>1. Cho tôi xác nhận xóa, thì món biến khỏi menu của khách.
2. Cho món đã nằm trong các đơn cũ, thì đơn cũ vẫn hiển thị đúng tên và giá món (xóa mềm).</t>
        </is>
      </c>
      <c r="H33" s="22" t="inlineStr">
        <is>
          <t>FR-36</t>
        </is>
      </c>
      <c r="I33" s="22" t="inlineStr">
        <is>
          <t>UC-24</t>
        </is>
      </c>
      <c r="J33" s="22" t="inlineStr">
        <is>
          <t>Bắt buộc</t>
        </is>
      </c>
      <c r="K33" s="22" t="inlineStr">
        <is>
          <t>Sprint 1</t>
        </is>
      </c>
      <c r="L33" s="22" t="n">
        <v>2</v>
      </c>
      <c r="M33" s="22" t="inlineStr">
        <is>
          <t>Hoàn thành</t>
        </is>
      </c>
    </row>
    <row r="34" ht="45.75" customHeight="1" s="18">
      <c r="A34" s="20" t="inlineStr">
        <is>
          <t>US-33</t>
        </is>
      </c>
      <c r="B34" s="21" t="inlineStr">
        <is>
          <t>E7. Quản lý menu</t>
        </is>
      </c>
      <c r="C34" s="21" t="inlineStr">
        <is>
          <t>Chủ quán</t>
        </is>
      </c>
      <c r="D34" s="21" t="inlineStr">
        <is>
          <t>tạo nhóm tùy chọn (size, topping) cho món kèm giá cộng thêm</t>
        </is>
      </c>
      <c r="E34" s="21" t="inlineStr">
        <is>
          <t>khách chọn được món theo ý mình</t>
        </is>
      </c>
      <c r="F34" s="21">
        <f>"Là "&amp;LOWER(LEFT(C34,1))&amp;MID(C34,2,100)&amp;", tôi muốn "&amp;D34&amp;", để "&amp;E34&amp;"."</f>
        <v/>
      </c>
      <c r="G34" s="21" t="inlineStr">
        <is>
          <t>1. Cho tôi tạo nhóm với tên, bắt buộc hay không và chọn một hay nhiều lựa chọn, thì nhóm được lưu.
2. Mỗi lựa chọn có giá cộng thêm không âm.
3. Cho nhóm đã lưu, thì khách thấy nhóm đó khi chọn món.</t>
        </is>
      </c>
      <c r="H34" s="22" t="inlineStr">
        <is>
          <t>FR-37</t>
        </is>
      </c>
      <c r="I34" s="22" t="inlineStr">
        <is>
          <t>UC-25</t>
        </is>
      </c>
      <c r="J34" s="22" t="inlineStr">
        <is>
          <t>Bắt buộc</t>
        </is>
      </c>
      <c r="K34" s="22" t="inlineStr">
        <is>
          <t>Sprint 2</t>
        </is>
      </c>
      <c r="L34" s="22" t="n">
        <v>5</v>
      </c>
      <c r="M34" s="22" t="inlineStr">
        <is>
          <t>Hoàn thành</t>
        </is>
      </c>
    </row>
    <row r="35" ht="45.75" customHeight="1" s="18">
      <c r="A35" s="20" t="inlineStr">
        <is>
          <t>US-34</t>
        </is>
      </c>
      <c r="B35" s="21" t="inlineStr">
        <is>
          <t>E7. Quản lý menu</t>
        </is>
      </c>
      <c r="C35" s="21" t="inlineStr">
        <is>
          <t>Chủ quán</t>
        </is>
      </c>
      <c r="D35" s="21" t="inlineStr">
        <is>
          <t>đánh dấu món hết hoặc còn bằng một thao tác</t>
        </is>
      </c>
      <c r="E35" s="21" t="inlineStr">
        <is>
          <t>khách không gọi nhầm món đã hết</t>
        </is>
      </c>
      <c r="F35" s="21">
        <f>"Là "&amp;LOWER(LEFT(C35,1))&amp;MID(C35,2,100)&amp;", tôi muốn "&amp;D35&amp;", để "&amp;E35&amp;"."</f>
        <v/>
      </c>
      <c r="G35" s="21" t="inlineStr">
        <is>
          <t>1. Cho tôi bật "Hết món", thì khách thấy món mờ và không thêm được ở lần tải menu sau.
2. Cho khách đang có món đó trong giỏ, khi gửi đơn, thì hệ thống báo món đã hết.
3. Cho tôi bật lại "Còn món", thì món hoạt động bình thường.</t>
        </is>
      </c>
      <c r="H35" s="22" t="inlineStr">
        <is>
          <t>FR-38</t>
        </is>
      </c>
      <c r="I35" s="22" t="inlineStr">
        <is>
          <t>UC-26</t>
        </is>
      </c>
      <c r="J35" s="22" t="inlineStr">
        <is>
          <t>Bắt buộc</t>
        </is>
      </c>
      <c r="K35" s="22" t="inlineStr">
        <is>
          <t>Sprint 1</t>
        </is>
      </c>
      <c r="L35" s="22" t="n">
        <v>1</v>
      </c>
      <c r="M35" s="22" t="inlineStr">
        <is>
          <t>Hoàn thành</t>
        </is>
      </c>
    </row>
    <row r="36" ht="45.75" customHeight="1" s="18">
      <c r="A36" s="20" t="inlineStr">
        <is>
          <t>US-35</t>
        </is>
      </c>
      <c r="B36" s="21" t="inlineStr">
        <is>
          <t>E8. Xử lý đơn</t>
        </is>
      </c>
      <c r="C36" s="21" t="inlineStr">
        <is>
          <t>Chủ quán</t>
        </is>
      </c>
      <c r="D36" s="21" t="inlineStr">
        <is>
          <t>xem danh sách đơn của quán kèm số bàn, lọc theo trạng thái và ngày</t>
        </is>
      </c>
      <c r="E36" s="21" t="inlineStr">
        <is>
          <t>nắm được các đơn cần xử lý</t>
        </is>
      </c>
      <c r="F36" s="21">
        <f>"Là "&amp;LOWER(LEFT(C36,1))&amp;MID(C36,2,100)&amp;", tôi muốn "&amp;D36&amp;", để "&amp;E36&amp;"."</f>
        <v/>
      </c>
      <c r="G36" s="21" t="inlineStr">
        <is>
          <t>1. Danh sách hiển thị số bàn, giờ gửi, tổng tiền, trạng thái đơn và trạng thái thanh toán, đơn mới nhất trước.
2. Cho tôi lọc theo trạng thái hoặc ngày, thì danh sách chỉ hiện đơn phù hợp.
3. Tôi chỉ thấy đơn của quán mình.</t>
        </is>
      </c>
      <c r="H36" s="22" t="inlineStr">
        <is>
          <t>FR-39</t>
        </is>
      </c>
      <c r="I36" s="22" t="inlineStr">
        <is>
          <t>UC-27</t>
        </is>
      </c>
      <c r="J36" s="22" t="inlineStr">
        <is>
          <t>Bắt buộc</t>
        </is>
      </c>
      <c r="K36" s="22" t="inlineStr">
        <is>
          <t>Sprint 2</t>
        </is>
      </c>
      <c r="L36" s="22" t="n">
        <v>3</v>
      </c>
      <c r="M36" s="22" t="inlineStr">
        <is>
          <t>Hoàn thành</t>
        </is>
      </c>
    </row>
    <row r="37" ht="34.5" customHeight="1" s="18">
      <c r="A37" s="20" t="inlineStr">
        <is>
          <t>US-36</t>
        </is>
      </c>
      <c r="B37" s="21" t="inlineStr">
        <is>
          <t>E8. Xử lý đơn</t>
        </is>
      </c>
      <c r="C37" s="21" t="inlineStr">
        <is>
          <t>Chủ quán</t>
        </is>
      </c>
      <c r="D37" s="21" t="inlineStr">
        <is>
          <t>xem chi tiết một đơn</t>
        </is>
      </c>
      <c r="E37" s="21" t="inlineStr">
        <is>
          <t>chuẩn bị đúng món khách gọi</t>
        </is>
      </c>
      <c r="F37" s="21">
        <f>"Là "&amp;LOWER(LEFT(C37,1))&amp;MID(C37,2,100)&amp;", tôi muốn "&amp;D37&amp;", để "&amp;E37&amp;"."</f>
        <v/>
      </c>
      <c r="G37" s="21" t="inlineStr">
        <is>
          <t>1. Chi tiết đơn hiển thị số bàn, từng món, tùy chọn, số lượng, ghi chú và phương thức thanh toán.
2. Cho đơn thuộc quán khác, thì hệ thống từ chối.</t>
        </is>
      </c>
      <c r="H37" s="22" t="inlineStr">
        <is>
          <t>FR-41</t>
        </is>
      </c>
      <c r="I37" s="22" t="inlineStr">
        <is>
          <t>UC-27</t>
        </is>
      </c>
      <c r="J37" s="22" t="inlineStr">
        <is>
          <t>Bắt buộc</t>
        </is>
      </c>
      <c r="K37" s="22" t="inlineStr">
        <is>
          <t>Sprint 2</t>
        </is>
      </c>
      <c r="L37" s="22" t="n">
        <v>2</v>
      </c>
      <c r="M37" s="22" t="inlineStr">
        <is>
          <t>Hoàn thành</t>
        </is>
      </c>
    </row>
    <row r="38" ht="45.75" customHeight="1" s="18">
      <c r="A38" s="20" t="inlineStr">
        <is>
          <t>US-37</t>
        </is>
      </c>
      <c r="B38" s="21" t="inlineStr">
        <is>
          <t>E8. Xử lý đơn</t>
        </is>
      </c>
      <c r="C38" s="21" t="inlineStr">
        <is>
          <t>Chủ quán</t>
        </is>
      </c>
      <c r="D38" s="21" t="inlineStr">
        <is>
          <t>được báo bằng huy hiệu và âm báo khi có đơn mới mà không cần tải lại trang</t>
        </is>
      </c>
      <c r="E38" s="21" t="inlineStr">
        <is>
          <t>không bỏ sót đơn của khách</t>
        </is>
      </c>
      <c r="F38" s="21">
        <f>"Là "&amp;LOWER(LEFT(C38,1))&amp;MID(C38,2,100)&amp;", tôi muốn "&amp;D38&amp;", để "&amp;E38&amp;"."</f>
        <v/>
      </c>
      <c r="G38" s="21" t="inlineStr">
        <is>
          <t>1. Cho có đơn mới, thì đơn xuất hiện trên màn hình của tôi trong tối đa 10 giây, huy hiệu số đơn chờ tăng và có âm báo.
2. Cho trình duyệt chặn âm thanh, thì hiển thị nút "Bật âm báo".
3. Cho mất kết nối, thì hiển thị cảnh báo và tự thử lại.</t>
        </is>
      </c>
      <c r="H38" s="22" t="inlineStr">
        <is>
          <t>FR-40</t>
        </is>
      </c>
      <c r="I38" s="22" t="inlineStr">
        <is>
          <t>UC-28</t>
        </is>
      </c>
      <c r="J38" s="22" t="inlineStr">
        <is>
          <t>Bắt buộc</t>
        </is>
      </c>
      <c r="K38" s="22" t="inlineStr">
        <is>
          <t>Sprint 2</t>
        </is>
      </c>
      <c r="L38" s="22" t="n">
        <v>5</v>
      </c>
      <c r="M38" s="22" t="inlineStr">
        <is>
          <t>Hoàn thành</t>
        </is>
      </c>
    </row>
    <row r="39" ht="57" customHeight="1" s="18">
      <c r="A39" s="20" t="inlineStr">
        <is>
          <t>US-38</t>
        </is>
      </c>
      <c r="B39" s="21" t="inlineStr">
        <is>
          <t>E8. Xử lý đơn</t>
        </is>
      </c>
      <c r="C39" s="21" t="inlineStr">
        <is>
          <t>Chủ quán</t>
        </is>
      </c>
      <c r="D39" s="21" t="inlineStr">
        <is>
          <t>xác nhận hoặc từ chối đơn mới kèm lý do</t>
        </is>
      </c>
      <c r="E39" s="21" t="inlineStr">
        <is>
          <t>bắt đầu làm món hoặc chặn đơn nhầm, đơn đùa</t>
        </is>
      </c>
      <c r="F39" s="21">
        <f>"Là "&amp;LOWER(LEFT(C39,1))&amp;MID(C39,2,100)&amp;", tôi muốn "&amp;D39&amp;", để "&amp;E39&amp;"."</f>
        <v/>
      </c>
      <c r="G39" s="21" t="inlineStr">
        <is>
          <t>1. Cho đơn Chờ xác nhận, khi tôi bấm "Xác nhận", thì đơn chuyển sang Đang làm và khách thấy cập nhật.
2. Cho tôi từ chối, thì phải nhập lý do; đơn chuyển sang Đã hủy và khách thấy lý do.
3. Cho đơn vừa bị khách hủy, thì hệ thống báo "Đơn đã được hủy" và không cho xác nhận.</t>
        </is>
      </c>
      <c r="H39" s="22" t="inlineStr">
        <is>
          <t>FR-42</t>
        </is>
      </c>
      <c r="I39" s="22" t="inlineStr">
        <is>
          <t>UC-29</t>
        </is>
      </c>
      <c r="J39" s="22" t="inlineStr">
        <is>
          <t>Bắt buộc</t>
        </is>
      </c>
      <c r="K39" s="22" t="inlineStr">
        <is>
          <t>Sprint 2</t>
        </is>
      </c>
      <c r="L39" s="22" t="n">
        <v>3</v>
      </c>
      <c r="M39" s="22" t="inlineStr">
        <is>
          <t>Hoàn thành</t>
        </is>
      </c>
    </row>
    <row r="40" ht="45.75" customHeight="1" s="18">
      <c r="A40" s="20" t="inlineStr">
        <is>
          <t>US-39</t>
        </is>
      </c>
      <c r="B40" s="21" t="inlineStr">
        <is>
          <t>E8. Xử lý đơn</t>
        </is>
      </c>
      <c r="C40" s="21" t="inlineStr">
        <is>
          <t>Chủ quán</t>
        </is>
      </c>
      <c r="D40" s="21" t="inlineStr">
        <is>
          <t>chuyển đơn sang Hoàn thành khi đã phục vụ món</t>
        </is>
      </c>
      <c r="E40" s="21" t="inlineStr">
        <is>
          <t>khách và quán cùng nắm được tiến độ</t>
        </is>
      </c>
      <c r="F40" s="21">
        <f>"Là "&amp;LOWER(LEFT(C40,1))&amp;MID(C40,2,100)&amp;", tôi muốn "&amp;D40&amp;", để "&amp;E40&amp;"."</f>
        <v/>
      </c>
      <c r="G40" s="21" t="inlineStr">
        <is>
          <t>1. Cho đơn Đang làm, khi tôi bấm "Hoàn thành", thì đơn chuyển sang Hoàn thành.
2. Hệ thống không cho nhảy bước (từ Chờ xác nhận sang Hoàn thành) hoặc chuyển ngược trạng thái.
3. Cho tôi hủy đơn đang làm, thì phải nhập lý do (đề xuất).</t>
        </is>
      </c>
      <c r="H40" s="22" t="inlineStr">
        <is>
          <t>FR-43</t>
        </is>
      </c>
      <c r="I40" s="22" t="inlineStr">
        <is>
          <t>UC-30</t>
        </is>
      </c>
      <c r="J40" s="22" t="inlineStr">
        <is>
          <t>Bắt buộc</t>
        </is>
      </c>
      <c r="K40" s="22" t="inlineStr">
        <is>
          <t>Sprint 2</t>
        </is>
      </c>
      <c r="L40" s="22" t="n">
        <v>2</v>
      </c>
      <c r="M40" s="22" t="inlineStr">
        <is>
          <t>Hoàn thành</t>
        </is>
      </c>
    </row>
    <row r="41" ht="45.75" customHeight="1" s="18">
      <c r="A41" s="20" t="inlineStr">
        <is>
          <t>US-40</t>
        </is>
      </c>
      <c r="B41" s="21" t="inlineStr">
        <is>
          <t>E8. Xử lý đơn</t>
        </is>
      </c>
      <c r="C41" s="21" t="inlineStr">
        <is>
          <t>Chủ quán</t>
        </is>
      </c>
      <c r="D41" s="21" t="inlineStr">
        <is>
          <t>đánh dấu đơn đã thanh toán sau khi nhận tiền</t>
        </is>
      </c>
      <c r="E41" s="21" t="inlineStr">
        <is>
          <t>biết đơn nào đã thu tiền</t>
        </is>
      </c>
      <c r="F41" s="21">
        <f>"Là "&amp;LOWER(LEFT(C41,1))&amp;MID(C41,2,100)&amp;", tôi muốn "&amp;D41&amp;", để "&amp;E41&amp;"."</f>
        <v/>
      </c>
      <c r="G41" s="21" t="inlineStr">
        <is>
          <t>1. Cho tôi bấm "Đã thanh toán", thì trạng thái thanh toán đổi và trạng thái đơn không đổi.
2. Cho đơn Đã hủy, thì không cho đánh dấu thanh toán.
3. Danh sách đơn có thể lọc theo chưa thanh toán hoặc đã thanh toán.</t>
        </is>
      </c>
      <c r="H41" s="22" t="inlineStr">
        <is>
          <t>FR-44</t>
        </is>
      </c>
      <c r="I41" s="22" t="inlineStr">
        <is>
          <t>UC-31</t>
        </is>
      </c>
      <c r="J41" s="22" t="inlineStr">
        <is>
          <t>Bắt buộc</t>
        </is>
      </c>
      <c r="K41" s="22" t="inlineStr">
        <is>
          <t>Sprint 2</t>
        </is>
      </c>
      <c r="L41" s="22" t="n">
        <v>2</v>
      </c>
      <c r="M41" s="22" t="inlineStr">
        <is>
          <t>Hoàn thành</t>
        </is>
      </c>
    </row>
    <row r="42" ht="34.5" customHeight="1" s="18">
      <c r="A42" s="20" t="inlineStr">
        <is>
          <t>US-41</t>
        </is>
      </c>
      <c r="B42" s="21" t="inlineStr">
        <is>
          <t>E9. Khuyến mãi và thống kê</t>
        </is>
      </c>
      <c r="C42" s="21" t="inlineStr">
        <is>
          <t>Chủ quán</t>
        </is>
      </c>
      <c r="D42" s="21" t="inlineStr">
        <is>
          <t>xem tổng tiền các đơn chưa thanh toán của một bàn và đóng bàn</t>
        </is>
      </c>
      <c r="E42" s="21" t="inlineStr">
        <is>
          <t>thu tiền một lần khi khách gọi thêm nhiều lần</t>
        </is>
      </c>
      <c r="F42" s="21">
        <f>"Là "&amp;LOWER(LEFT(C42,1))&amp;MID(C42,2,100)&amp;", tôi muốn "&amp;D42&amp;", để "&amp;E42&amp;"."</f>
        <v/>
      </c>
      <c r="G42" s="21" t="inlineStr">
        <is>
          <t>1. Cho tôi chọn bàn, thì hệ thống liệt kê các đơn chưa thanh toán và tổng tiền.
2. Cho tôi bấm "Đã thanh toán tất cả", thì các đơn đó được đánh dấu đã thanh toán.</t>
        </is>
      </c>
      <c r="H42" s="22" t="inlineStr">
        <is>
          <t>FR-45</t>
        </is>
      </c>
      <c r="I42" s="22" t="inlineStr">
        <is>
          <t>UC-32</t>
        </is>
      </c>
      <c r="J42" s="22" t="inlineStr">
        <is>
          <t>Nâng cao</t>
        </is>
      </c>
      <c r="K42" s="22" t="inlineStr">
        <is>
          <t>Sprint 3</t>
        </is>
      </c>
      <c r="L42" s="22" t="n">
        <v>3</v>
      </c>
      <c r="M42" s="22" t="inlineStr">
        <is>
          <t>Hoàn thành</t>
        </is>
      </c>
    </row>
    <row r="43" ht="45.75" customHeight="1" s="18">
      <c r="A43" s="20" t="inlineStr">
        <is>
          <t>US-42</t>
        </is>
      </c>
      <c r="B43" s="21" t="inlineStr">
        <is>
          <t>E9. Khuyến mãi và thống kê</t>
        </is>
      </c>
      <c r="C43" s="21" t="inlineStr">
        <is>
          <t>Chủ quán</t>
        </is>
      </c>
      <c r="D43" s="21" t="inlineStr">
        <is>
          <t>tạo và quản lý mã giảm giá</t>
        </is>
      </c>
      <c r="E43" s="21" t="inlineStr">
        <is>
          <t>thu hút khách bằng khuyến mãi</t>
        </is>
      </c>
      <c r="F43" s="21">
        <f>"Là "&amp;LOWER(LEFT(C43,1))&amp;MID(C43,2,100)&amp;", tôi muốn "&amp;D43&amp;", để "&amp;E43&amp;"."</f>
        <v/>
      </c>
      <c r="G43" s="21" t="inlineStr">
        <is>
          <t>1. Cho tôi nhập mã, loại giảm, giá trị, đơn tối thiểu, thời hạn và số lượt hợp lệ, thì mã được lưu.
2. Cho mã trùng hoặc ngày kết thúc trước ngày bắt đầu, thì hệ thống báo lỗi.
3. Tôi có thể bật, tắt, sửa và xóa mã.</t>
        </is>
      </c>
      <c r="H43" s="22" t="inlineStr">
        <is>
          <t>FR-46</t>
        </is>
      </c>
      <c r="I43" s="22" t="inlineStr">
        <is>
          <t>UC-33</t>
        </is>
      </c>
      <c r="J43" s="22" t="inlineStr">
        <is>
          <t>Nâng cao</t>
        </is>
      </c>
      <c r="K43" s="22" t="inlineStr">
        <is>
          <t>Sprint 3</t>
        </is>
      </c>
      <c r="L43" s="22" t="n">
        <v>5</v>
      </c>
      <c r="M43" s="22" t="inlineStr">
        <is>
          <t>Hoàn thành</t>
        </is>
      </c>
    </row>
    <row r="44" ht="45.75" customHeight="1" s="18">
      <c r="A44" s="20" t="inlineStr">
        <is>
          <t>US-43</t>
        </is>
      </c>
      <c r="B44" s="21" t="inlineStr">
        <is>
          <t>E9. Khuyến mãi và thống kê</t>
        </is>
      </c>
      <c r="C44" s="21" t="inlineStr">
        <is>
          <t>Chủ quán</t>
        </is>
      </c>
      <c r="D44" s="21" t="inlineStr">
        <is>
          <t>xem doanh thu theo ngày và theo tháng bằng biểu đồ</t>
        </is>
      </c>
      <c r="E44" s="21" t="inlineStr">
        <is>
          <t>nắm tình hình kinh doanh</t>
        </is>
      </c>
      <c r="F44" s="21">
        <f>"Là "&amp;LOWER(LEFT(C44,1))&amp;MID(C44,2,100)&amp;", tôi muốn "&amp;D44&amp;", để "&amp;E44&amp;"."</f>
        <v/>
      </c>
      <c r="G44" s="21" t="inlineStr">
        <is>
          <t>1. Cho tôi chọn khoảng thời gian (hôm nay, 7 ngày, 30 ngày, tháng này), thì hệ thống hiển thị tổng doanh thu, số đơn và biểu đồ theo ngày.
2. Chỉ tính các đơn Hoàn thành.
3. Cho không có dữ liệu, thì các số liệu hiển thị bằng 0.</t>
        </is>
      </c>
      <c r="H44" s="22" t="inlineStr">
        <is>
          <t>FR-47</t>
        </is>
      </c>
      <c r="I44" s="22" t="inlineStr">
        <is>
          <t>UC-34</t>
        </is>
      </c>
      <c r="J44" s="22" t="inlineStr">
        <is>
          <t>Nâng cao</t>
        </is>
      </c>
      <c r="K44" s="22" t="inlineStr">
        <is>
          <t>Sprint 3</t>
        </is>
      </c>
      <c r="L44" s="22" t="n">
        <v>5</v>
      </c>
      <c r="M44" s="22" t="inlineStr">
        <is>
          <t>Hoàn thành</t>
        </is>
      </c>
    </row>
    <row r="45" ht="23.25" customHeight="1" s="18">
      <c r="A45" s="20" t="inlineStr">
        <is>
          <t>US-44</t>
        </is>
      </c>
      <c r="B45" s="21" t="inlineStr">
        <is>
          <t>E9. Khuyến mãi và thống kê</t>
        </is>
      </c>
      <c r="C45" s="21" t="inlineStr">
        <is>
          <t>Chủ quán</t>
        </is>
      </c>
      <c r="D45" s="21" t="inlineStr">
        <is>
          <t>xem danh sách món bán chạy</t>
        </is>
      </c>
      <c r="E45" s="21" t="inlineStr">
        <is>
          <t>biết nên chuẩn bị và quảng bá món nào</t>
        </is>
      </c>
      <c r="F45" s="21">
        <f>"Là "&amp;LOWER(LEFT(C45,1))&amp;MID(C45,2,100)&amp;", tôi muốn "&amp;D45&amp;", để "&amp;E45&amp;"."</f>
        <v/>
      </c>
      <c r="G45" s="21" t="inlineStr">
        <is>
          <t>1. Cho tôi chọn khoảng thời gian, thì hệ thống xếp hạng món theo số lượng bán.
2. Cho không có món nào bán ra trong kỳ, thì hiển thị "Chưa có món bán ra trong kỳ này".</t>
        </is>
      </c>
      <c r="H45" s="22" t="inlineStr">
        <is>
          <t>FR-48</t>
        </is>
      </c>
      <c r="I45" s="22" t="inlineStr">
        <is>
          <t>UC-34</t>
        </is>
      </c>
      <c r="J45" s="22" t="inlineStr">
        <is>
          <t>Nâng cao</t>
        </is>
      </c>
      <c r="K45" s="22" t="inlineStr">
        <is>
          <t>Sprint 3</t>
        </is>
      </c>
      <c r="L45" s="22" t="n">
        <v>3</v>
      </c>
      <c r="M45" s="22" t="inlineStr">
        <is>
          <t>Hoàn thành</t>
        </is>
      </c>
    </row>
    <row r="46" ht="45.75" customHeight="1" s="18">
      <c r="A46" s="20" t="inlineStr">
        <is>
          <t>US-45</t>
        </is>
      </c>
      <c r="B46" s="21" t="inlineStr">
        <is>
          <t>E9. Khuyến mãi và thống kê</t>
        </is>
      </c>
      <c r="C46" s="21" t="inlineStr">
        <is>
          <t>Chủ quán</t>
        </is>
      </c>
      <c r="D46" s="21" t="inlineStr">
        <is>
          <t>xem đánh giá của khách và điểm trung bình</t>
        </is>
      </c>
      <c r="E46" s="21" t="inlineStr">
        <is>
          <t>biết khách nghĩ gì về quán và món</t>
        </is>
      </c>
      <c r="F46" s="21">
        <f>"Là "&amp;LOWER(LEFT(C46,1))&amp;MID(C46,2,100)&amp;", tôi muốn "&amp;D46&amp;", để "&amp;E46&amp;"."</f>
        <v/>
      </c>
      <c r="G46" s="21" t="inlineStr">
        <is>
          <t>1. Cho có đánh giá, thì hệ thống hiển thị điểm trung bình và danh sách đánh giá mới nhất trước.
2. Tôi lọc được theo món hoặc số sao.
3. Cho chưa có đánh giá, thì hiển thị "Chưa có đánh giá nào".</t>
        </is>
      </c>
      <c r="H46" s="22" t="inlineStr">
        <is>
          <t>FR-49</t>
        </is>
      </c>
      <c r="I46" s="22" t="inlineStr">
        <is>
          <t>UC-35</t>
        </is>
      </c>
      <c r="J46" s="22" t="inlineStr">
        <is>
          <t>Nâng cao</t>
        </is>
      </c>
      <c r="K46" s="22" t="inlineStr">
        <is>
          <t>Sprint 3</t>
        </is>
      </c>
      <c r="L46" s="22" t="n">
        <v>2</v>
      </c>
      <c r="M46" s="22" t="inlineStr">
        <is>
          <t>Hoàn thành</t>
        </is>
      </c>
    </row>
    <row r="47" ht="57" customHeight="1" s="18">
      <c r="A47" s="20" t="inlineStr">
        <is>
          <t>US-46</t>
        </is>
      </c>
      <c r="B47" s="21" t="inlineStr">
        <is>
          <t>E10. Quản trị hệ thống</t>
        </is>
      </c>
      <c r="C47" s="21" t="inlineStr">
        <is>
          <t>Quản trị viên</t>
        </is>
      </c>
      <c r="D47" s="21" t="inlineStr">
        <is>
          <t>xem các quán chờ duyệt và duyệt hoặc từ chối</t>
        </is>
      </c>
      <c r="E47" s="21" t="inlineStr">
        <is>
          <t>chỉ những quán hợp lệ mới nhận đơn</t>
        </is>
      </c>
      <c r="F47" s="21">
        <f>"Là "&amp;LOWER(LEFT(C47,1))&amp;MID(C47,2,100)&amp;", tôi muốn "&amp;D47&amp;", để "&amp;E47&amp;"."</f>
        <v/>
      </c>
      <c r="G47" s="21" t="inlineStr">
        <is>
          <t>1. Danh sách quán chờ duyệt hiển thị tên quán, chủ quán, số điện thoại và ngày đăng ký.
2. Cho tôi bấm "Duyệt", thì quán chuyển sang Đã duyệt và mã QR bắt đầu hoạt động.
3. Cho tôi từ chối, thì phải nhập lý do; chủ quán thấy lý do và có thể gửi lại.
4. Chỉ Admin truy cập được chức năng này.</t>
        </is>
      </c>
      <c r="H47" s="22" t="inlineStr">
        <is>
          <t>FR-50</t>
        </is>
      </c>
      <c r="I47" s="22" t="inlineStr">
        <is>
          <t>UC-36</t>
        </is>
      </c>
      <c r="J47" s="22" t="inlineStr">
        <is>
          <t>Bắt buộc</t>
        </is>
      </c>
      <c r="K47" s="22" t="inlineStr">
        <is>
          <t>Sprint 1</t>
        </is>
      </c>
      <c r="L47" s="22" t="n">
        <v>3</v>
      </c>
      <c r="M47" s="22" t="inlineStr">
        <is>
          <t>Hoàn thành</t>
        </is>
      </c>
    </row>
    <row r="48" ht="45.75" customHeight="1" s="18">
      <c r="A48" s="20" t="inlineStr">
        <is>
          <t>US-47</t>
        </is>
      </c>
      <c r="B48" s="21" t="inlineStr">
        <is>
          <t>E10. Quản trị hệ thống</t>
        </is>
      </c>
      <c r="C48" s="21" t="inlineStr">
        <is>
          <t>Quản trị viên</t>
        </is>
      </c>
      <c r="D48" s="21" t="inlineStr">
        <is>
          <t>khóa hoặc mở khóa quán vi phạm</t>
        </is>
      </c>
      <c r="E48" s="21" t="inlineStr">
        <is>
          <t>bảo vệ khách và uy tín hệ thống</t>
        </is>
      </c>
      <c r="F48" s="21">
        <f>"Là "&amp;LOWER(LEFT(C48,1))&amp;MID(C48,2,100)&amp;", tôi muốn "&amp;D48&amp;", để "&amp;E48&amp;"."</f>
        <v/>
      </c>
      <c r="G48" s="21" t="inlineStr">
        <is>
          <t>1. Cho tôi khóa quán kèm lý do, thì khách mở mã QR của quán sẽ thấy quán không còn hoạt động và không đặt được món.
2. Cho tôi mở khóa, thì quán nhận đơn bình thường trở lại và mã QR cũ dùng được.
3. Các đơn cũ của quán vẫn được giữ.</t>
        </is>
      </c>
      <c r="H48" s="22" t="inlineStr">
        <is>
          <t>FR-51</t>
        </is>
      </c>
      <c r="I48" s="22" t="inlineStr">
        <is>
          <t>UC-37</t>
        </is>
      </c>
      <c r="J48" s="22" t="inlineStr">
        <is>
          <t>Nâng cao</t>
        </is>
      </c>
      <c r="K48" s="22" t="inlineStr">
        <is>
          <t>Sprint 3</t>
        </is>
      </c>
      <c r="L48" s="22" t="n">
        <v>2</v>
      </c>
      <c r="M48" s="22" t="inlineStr">
        <is>
          <t>Hoàn thành</t>
        </is>
      </c>
    </row>
    <row r="49" ht="34.5" customHeight="1" s="18">
      <c r="A49" s="20" t="inlineStr">
        <is>
          <t>US-48</t>
        </is>
      </c>
      <c r="B49" s="21" t="inlineStr">
        <is>
          <t>E10. Quản trị hệ thống</t>
        </is>
      </c>
      <c r="C49" s="21" t="inlineStr">
        <is>
          <t>Quản trị viên</t>
        </is>
      </c>
      <c r="D49" s="21" t="inlineStr">
        <is>
          <t>xem, tìm kiếm, khóa và mở khóa tài khoản người dùng</t>
        </is>
      </c>
      <c r="E49" s="21" t="inlineStr">
        <is>
          <t>kiểm soát người dùng trên hệ thống</t>
        </is>
      </c>
      <c r="F49" s="21">
        <f>"Là "&amp;LOWER(LEFT(C49,1))&amp;MID(C49,2,100)&amp;", tôi muốn "&amp;D49&amp;", để "&amp;E49&amp;"."</f>
        <v/>
      </c>
      <c r="G49" s="21" t="inlineStr">
        <is>
          <t>1. Cho tôi tìm theo tên hoặc email, thì danh sách lọc đúng.
2. Cho tài khoản bị khóa, thì người đó không đăng nhập được.
3. Tôi không thể khóa chính tài khoản của mình.</t>
        </is>
      </c>
      <c r="H49" s="22" t="inlineStr">
        <is>
          <t>FR-52</t>
        </is>
      </c>
      <c r="I49" s="22" t="inlineStr">
        <is>
          <t>UC-38</t>
        </is>
      </c>
      <c r="J49" s="22" t="inlineStr">
        <is>
          <t>Nâng cao</t>
        </is>
      </c>
      <c r="K49" s="22" t="inlineStr">
        <is>
          <t>Sprint 3</t>
        </is>
      </c>
      <c r="L49" s="22" t="n">
        <v>3</v>
      </c>
      <c r="M49" s="22" t="inlineStr">
        <is>
          <t>Hoàn thành</t>
        </is>
      </c>
    </row>
    <row r="50" ht="34.5" customHeight="1" s="18">
      <c r="A50" s="20" t="inlineStr">
        <is>
          <t>US-49</t>
        </is>
      </c>
      <c r="B50" s="21" t="inlineStr">
        <is>
          <t>E10. Quản trị hệ thống</t>
        </is>
      </c>
      <c r="C50" s="21" t="inlineStr">
        <is>
          <t>Quản trị viên</t>
        </is>
      </c>
      <c r="D50" s="21" t="inlineStr">
        <is>
          <t>thêm, sửa, xóa danh mục món</t>
        </is>
      </c>
      <c r="E50" s="21" t="inlineStr">
        <is>
          <t>chủ quán phân loại món thống nhất</t>
        </is>
      </c>
      <c r="F50" s="21">
        <f>"Là "&amp;LOWER(LEFT(C50,1))&amp;MID(C50,2,100)&amp;", tôi muốn "&amp;D50&amp;", để "&amp;E50&amp;"."</f>
        <v/>
      </c>
      <c r="G50" s="21" t="inlineStr">
        <is>
          <t>1. Cho tên danh mục trùng, thì hệ thống báo lỗi.
2. Cho danh mục đang có món, thì không cho xóa.
3. Danh mục mới hiển thị khi chủ quán thêm món.</t>
        </is>
      </c>
      <c r="H50" s="22" t="inlineStr">
        <is>
          <t>FR-53</t>
        </is>
      </c>
      <c r="I50" s="22" t="inlineStr">
        <is>
          <t>UC-39</t>
        </is>
      </c>
      <c r="J50" s="22" t="inlineStr">
        <is>
          <t>Nâng cao</t>
        </is>
      </c>
      <c r="K50" s="22" t="inlineStr">
        <is>
          <t>Sprint 3</t>
        </is>
      </c>
      <c r="L50" s="22" t="n">
        <v>2</v>
      </c>
      <c r="M50" s="22" t="inlineStr">
        <is>
          <t>Hoàn thành</t>
        </is>
      </c>
    </row>
    <row r="51" ht="34.5" customHeight="1" s="18">
      <c r="A51" s="20" t="inlineStr">
        <is>
          <t>US-50</t>
        </is>
      </c>
      <c r="B51" s="21" t="inlineStr">
        <is>
          <t>E10. Quản trị hệ thống</t>
        </is>
      </c>
      <c r="C51" s="21" t="inlineStr">
        <is>
          <t>Quản trị viên</t>
        </is>
      </c>
      <c r="D51" s="21" t="inlineStr">
        <is>
          <t>xem thống kê toàn hệ thống</t>
        </is>
      </c>
      <c r="E51" s="21" t="inlineStr">
        <is>
          <t>nắm được quy mô và hoạt động của nền tảng</t>
        </is>
      </c>
      <c r="F51" s="21">
        <f>"Là "&amp;LOWER(LEFT(C51,1))&amp;MID(C51,2,100)&amp;", tôi muốn "&amp;D51&amp;", để "&amp;E51&amp;"."</f>
        <v/>
      </c>
      <c r="G51" s="21" t="inlineStr">
        <is>
          <t>1. Hệ thống hiển thị tổng số quán, số người dùng, số đơn và doanh thu của toàn bộ thời gian.
2. Doanh thu chỉ tính các đơn Hoàn thành.</t>
        </is>
      </c>
      <c r="H51" s="22" t="inlineStr">
        <is>
          <t>FR-54</t>
        </is>
      </c>
      <c r="I51" s="22" t="inlineStr">
        <is>
          <t>UC-40</t>
        </is>
      </c>
      <c r="J51" s="22" t="inlineStr">
        <is>
          <t>Nâng cao</t>
        </is>
      </c>
      <c r="K51" s="22" t="inlineStr">
        <is>
          <t>Sprint 3</t>
        </is>
      </c>
      <c r="L51" s="22" t="n">
        <v>3</v>
      </c>
      <c r="M51" s="22" t="inlineStr">
        <is>
          <t>Hoàn thành</t>
        </is>
      </c>
    </row>
    <row r="52" ht="34.5" customHeight="1" s="18">
      <c r="A52" s="20" t="inlineStr">
        <is>
          <t>US-51</t>
        </is>
      </c>
      <c r="B52" s="21" t="inlineStr">
        <is>
          <t>E10. Quản trị hệ thống</t>
        </is>
      </c>
      <c r="C52" s="21" t="inlineStr">
        <is>
          <t>Chủ quán</t>
        </is>
      </c>
      <c r="D52" s="21" t="inlineStr">
        <is>
          <t>xem và phản hồi khiếu nại của khách về quán của mình</t>
        </is>
      </c>
      <c r="E52" s="21" t="inlineStr">
        <is>
          <t>vấn đề của khách được giải quyết</t>
        </is>
      </c>
      <c r="F52" s="21">
        <f>"Là "&amp;LOWER(LEFT(C52,1))&amp;MID(C52,2,100)&amp;", tôi muốn "&amp;D52&amp;", để "&amp;E52&amp;"."</f>
        <v/>
      </c>
      <c r="G52" s="21" t="inlineStr">
        <is>
          <t>1. Cho có khiếu nại mới về quán của tôi, thì tôi mở xem được nội dung và đơn liên quan.
2. Cho tôi nhập phản hồi rồi đóng khiếu nại, thì khách thấy phản hồi và trạng thái.
3. Chủ quán khác không xem hoặc sửa được khiếu nại này.</t>
        </is>
      </c>
      <c r="H52" s="22" t="inlineStr">
        <is>
          <t>FR-55</t>
        </is>
      </c>
      <c r="I52" s="22" t="inlineStr">
        <is>
          <t>UC-41</t>
        </is>
      </c>
      <c r="J52" s="22" t="inlineStr">
        <is>
          <t>Nâng cao</t>
        </is>
      </c>
      <c r="K52" s="22" t="inlineStr">
        <is>
          <t>Sprint 3</t>
        </is>
      </c>
      <c r="L52" s="22" t="n">
        <v>3</v>
      </c>
      <c r="M52" s="22" t="inlineStr">
        <is>
          <t>Hoàn thành</t>
        </is>
      </c>
    </row>
  </sheetData>
  <autoFilter ref="A1:M52"/>
  <conditionalFormatting sqref="J2:J300">
    <cfRule type="cellIs" rank="0" priority="2" equalAverage="0" operator="equal" aboveAverage="0" dxfId="6" text="" percent="0" bottom="0">
      <formula>"Bắt buộc"</formula>
    </cfRule>
    <cfRule type="cellIs" rank="0" priority="3" equalAverage="0" operator="equal" aboveAverage="0" dxfId="7" text="" percent="0" bottom="0">
      <formula>"Nâng cao"</formula>
    </cfRule>
  </conditionalFormatting>
  <conditionalFormatting sqref="M2:M300">
    <cfRule type="cellIs" rank="0" priority="4" equalAverage="0" operator="equal" aboveAverage="0" dxfId="8" text="" percent="0" bottom="0">
      <formula>"Hoàn thành"</formula>
    </cfRule>
    <cfRule type="cellIs" rank="0" priority="5" equalAverage="0" operator="equal" aboveAverage="0" dxfId="9" text="" percent="0" bottom="0">
      <formula>"Đang làm"</formula>
    </cfRule>
  </conditionalFormatting>
  <dataValidations count="4">
    <dataValidation sqref="J2:J300" showDropDown="0" showInputMessage="0" showErrorMessage="0" allowBlank="1" type="list" errorStyle="stop" operator="between">
      <formula1>"Bắt buộc,Nâng cao"</formula1>
      <formula2>0</formula2>
    </dataValidation>
    <dataValidation sqref="K2:K300" showDropDown="0" showInputMessage="0" showErrorMessage="0" allowBlank="1" type="list" errorStyle="stop" operator="between">
      <formula1>"Sprint 1,Sprint 2,Sprint 3,Mở rộng"</formula1>
      <formula2>0</formula2>
    </dataValidation>
    <dataValidation sqref="L2:L300" showDropDown="0" showInputMessage="0" showErrorMessage="0" allowBlank="1" type="list" errorStyle="stop" operator="between">
      <formula1>"1,2,3,5,8,13"</formula1>
      <formula2>0</formula2>
    </dataValidation>
    <dataValidation sqref="M2:M300" showDropDown="0" showInputMessage="0" showErrorMessage="0" allowBlank="1" type="list" errorStyle="stop" operator="between">
      <formula1>"Chưa làm,Đang làm,Hoàn thành"</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G3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17" min="1" max="1"/>
    <col width="14" customWidth="1" style="17" min="2" max="5"/>
    <col width="3" customWidth="1" style="17" min="6" max="6"/>
    <col width="80" customWidth="1" style="17" min="7" max="7"/>
  </cols>
  <sheetData>
    <row r="1" ht="17.25" customHeight="1" s="18">
      <c r="A1" s="23" t="inlineStr">
        <is>
          <t>Tổng hợp User Story QuickOrder</t>
        </is>
      </c>
    </row>
    <row r="3" ht="15" customHeight="1" s="18">
      <c r="A3" s="24" t="inlineStr">
        <is>
          <t>1. Theo Sprint</t>
        </is>
      </c>
      <c r="G3" s="25" t="inlineStr">
        <is>
          <t>Cách dùng</t>
        </is>
      </c>
    </row>
    <row r="4" ht="23.25" customHeight="1" s="18">
      <c r="A4" s="19" t="inlineStr">
        <is>
          <t>Sprint</t>
        </is>
      </c>
      <c r="B4" s="19" t="inlineStr">
        <is>
          <t>Số story</t>
        </is>
      </c>
      <c r="C4" s="19" t="inlineStr">
        <is>
          <t>Bắt buộc</t>
        </is>
      </c>
      <c r="D4" s="19" t="inlineStr">
        <is>
          <t>Nâng cao</t>
        </is>
      </c>
      <c r="E4" s="19" t="inlineStr">
        <is>
          <t>Tổng điểm</t>
        </is>
      </c>
      <c r="G4" s="26" t="inlineStr">
        <is>
          <t>• Mỗi dòng ở sheet 'User Story' là một thẻ công việc. Cột 'Câu chuyện' tự ghép từ Vai trò, Tôi muốn, Để: copy làm tiêu đề thẻ trên Trello hoặc GitHub Projects.</t>
        </is>
      </c>
    </row>
    <row r="5" ht="15" customHeight="1" s="18">
      <c r="A5" s="27" t="inlineStr">
        <is>
          <t>Sprint 1</t>
        </is>
      </c>
      <c r="B5" s="28">
        <f>COUNTIFS('User Story'!$K$2:$K$300,$A5)</f>
        <v/>
      </c>
      <c r="C5" s="28">
        <f>COUNTIFS('User Story'!$K$2:$K$300,$A5,'User Story'!$J$2:$J$300,"Bắt buộc")</f>
        <v/>
      </c>
      <c r="D5" s="28">
        <f>COUNTIFS('User Story'!$K$2:$K$300,$A5,'User Story'!$J$2:$J$300,"Nâng cao")</f>
        <v/>
      </c>
      <c r="E5" s="29">
        <f>SUMIFS('User Story'!$L$2:$L$300,'User Story'!$K$2:$K$300,$A5)</f>
        <v/>
      </c>
      <c r="G5" s="26" t="inlineStr">
        <is>
          <t>• Cột 'Tiêu chí nghiệm thu' copy vào mô tả thẻ, mỗi dòng là một mục kiểm tra (checklist).</t>
        </is>
      </c>
    </row>
    <row r="6" ht="23.25" customHeight="1" s="18">
      <c r="A6" s="27" t="inlineStr">
        <is>
          <t>Sprint 2</t>
        </is>
      </c>
      <c r="B6" s="28">
        <f>COUNTIFS('User Story'!$K$2:$K$300,$A6)</f>
        <v/>
      </c>
      <c r="C6" s="28">
        <f>COUNTIFS('User Story'!$K$2:$K$300,$A6,'User Story'!$J$2:$J$300,"Bắt buộc")</f>
        <v/>
      </c>
      <c r="D6" s="28">
        <f>COUNTIFS('User Story'!$K$2:$K$300,$A6,'User Story'!$J$2:$J$300,"Nâng cao")</f>
        <v/>
      </c>
      <c r="E6" s="29">
        <f>SUMIFS('User Story'!$L$2:$L$300,'User Story'!$K$2:$K$300,$A6)</f>
        <v/>
      </c>
      <c r="G6" s="26" t="inlineStr">
        <is>
          <t>• Thêm story mới ở dòng cuối, chọn Ưu tiên, Sprint, Điểm, Trạng thái từ danh sách thả xuống để các bảng ở đây tự cập nhật (hỗ trợ tới dòng 300).</t>
        </is>
      </c>
    </row>
    <row r="7" ht="15" customHeight="1" s="18">
      <c r="A7" s="27" t="inlineStr">
        <is>
          <t>Sprint 3</t>
        </is>
      </c>
      <c r="B7" s="28">
        <f>COUNTIFS('User Story'!$K$2:$K$300,$A7)</f>
        <v/>
      </c>
      <c r="C7" s="28">
        <f>COUNTIFS('User Story'!$K$2:$K$300,$A7,'User Story'!$J$2:$J$300,"Bắt buộc")</f>
        <v/>
      </c>
      <c r="D7" s="28">
        <f>COUNTIFS('User Story'!$K$2:$K$300,$A7,'User Story'!$J$2:$J$300,"Nâng cao")</f>
        <v/>
      </c>
      <c r="E7" s="29">
        <f>SUMIFS('User Story'!$L$2:$L$300,'User Story'!$K$2:$K$300,$A7)</f>
        <v/>
      </c>
      <c r="G7" s="25" t="inlineStr">
        <is>
          <t>Thang điểm ước lượng (đề xuất, nhóm tự hiệu chỉnh)</t>
        </is>
      </c>
    </row>
    <row r="8" ht="23.25" customHeight="1" s="18">
      <c r="A8" s="27" t="inlineStr">
        <is>
          <t>Mở rộng</t>
        </is>
      </c>
      <c r="B8" s="28">
        <f>COUNTIFS('User Story'!$K$2:$K$300,$A8)</f>
        <v/>
      </c>
      <c r="C8" s="28">
        <f>COUNTIFS('User Story'!$K$2:$K$300,$A8,'User Story'!$J$2:$J$300,"Bắt buộc")</f>
        <v/>
      </c>
      <c r="D8" s="28">
        <f>COUNTIFS('User Story'!$K$2:$K$300,$A8,'User Story'!$J$2:$J$300,"Nâng cao")</f>
        <v/>
      </c>
      <c r="E8" s="29">
        <f>SUMIFS('User Story'!$L$2:$L$300,'User Story'!$K$2:$K$300,$A8)</f>
        <v/>
      </c>
      <c r="G8" s="26" t="inlineStr">
        <is>
          <t>• 1 điểm: vài giờ  • 2 điểm: khoảng nửa ngày  • 3 điểm: khoảng 1 ngày  • 5 điểm: khoảng 2 ngày  • 8 điểm: 3 đến 4 ngày.</t>
        </is>
      </c>
    </row>
    <row r="9" ht="23.25" customHeight="1" s="18">
      <c r="A9" s="30" t="inlineStr">
        <is>
          <t>Tổng cộng</t>
        </is>
      </c>
      <c r="B9" s="29">
        <f>SUM(B5:B8)</f>
        <v/>
      </c>
      <c r="C9" s="29">
        <f>SUM(C5:C8)</f>
        <v/>
      </c>
      <c r="D9" s="29">
        <f>SUM(D5:D8)</f>
        <v/>
      </c>
      <c r="E9" s="29">
        <f>SUM(E5:E8)</f>
        <v/>
      </c>
      <c r="G9" s="26" t="inlineStr">
        <is>
          <t>• Điểm gồm cả frontend, backend và kiểm thử cơ bản của story. Story 8 điểm nên cân nhắc tách nhỏ khi lập kế hoạch Sprint.</t>
        </is>
      </c>
    </row>
    <row r="10" ht="15" customHeight="1" s="18">
      <c r="G10" s="25" t="inlineStr">
        <is>
          <t>Định nghĩa hoàn thành (Definition of Done), đề xuất</t>
        </is>
      </c>
    </row>
    <row r="11" ht="15" customHeight="1" s="18">
      <c r="A11" s="24" t="inlineStr">
        <is>
          <t>2. Theo Epic</t>
        </is>
      </c>
      <c r="G11" s="26" t="inlineStr">
        <is>
          <t>• Mã nguồn đã qua Pull Request và có ít nhất một người review.</t>
        </is>
      </c>
    </row>
    <row r="12" ht="15" customHeight="1" s="18">
      <c r="A12" s="19" t="inlineStr">
        <is>
          <t>Epic</t>
        </is>
      </c>
      <c r="B12" s="19" t="inlineStr">
        <is>
          <t>Số story</t>
        </is>
      </c>
      <c r="C12" s="19" t="inlineStr">
        <is>
          <t>Bắt buộc</t>
        </is>
      </c>
      <c r="D12" s="19" t="inlineStr">
        <is>
          <t>Nâng cao</t>
        </is>
      </c>
      <c r="E12" s="19" t="inlineStr">
        <is>
          <t>Tổng điểm</t>
        </is>
      </c>
      <c r="G12" s="26" t="inlineStr">
        <is>
          <t>• Đáp ứng đủ các tiêu chí nghiệm thu của story.</t>
        </is>
      </c>
    </row>
    <row r="13" ht="15" customHeight="1" s="18">
      <c r="A13" s="27" t="inlineStr">
        <is>
          <t>E1. Tài khoản và phân quyền</t>
        </is>
      </c>
      <c r="B13" s="28">
        <f>COUNTIFS('User Story'!$B$2:$B$300,$A13)</f>
        <v/>
      </c>
      <c r="C13" s="28">
        <f>COUNTIFS('User Story'!$B$2:$B$300,$A13,'User Story'!$J$2:$J$300,"Bắt buộc")</f>
        <v/>
      </c>
      <c r="D13" s="28">
        <f>COUNTIFS('User Story'!$B$2:$B$300,$A13,'User Story'!$J$2:$J$300,"Nâng cao")</f>
        <v/>
      </c>
      <c r="E13" s="29">
        <f>SUMIFS('User Story'!$L$2:$L$300,'User Story'!$B$2:$B$300,$A13)</f>
        <v/>
      </c>
      <c r="G13" s="26" t="inlineStr">
        <is>
          <t>• Có test case tương ứng và đã chạy Pass.</t>
        </is>
      </c>
    </row>
    <row r="14" ht="15" customHeight="1" s="18">
      <c r="A14" s="27" t="inlineStr">
        <is>
          <t>E2. Quét QR và xem menu</t>
        </is>
      </c>
      <c r="B14" s="28">
        <f>COUNTIFS('User Story'!$B$2:$B$300,$A14)</f>
        <v/>
      </c>
      <c r="C14" s="28">
        <f>COUNTIFS('User Story'!$B$2:$B$300,$A14,'User Story'!$J$2:$J$300,"Bắt buộc")</f>
        <v/>
      </c>
      <c r="D14" s="28">
        <f>COUNTIFS('User Story'!$B$2:$B$300,$A14,'User Story'!$J$2:$J$300,"Nâng cao")</f>
        <v/>
      </c>
      <c r="E14" s="29">
        <f>SUMIFS('User Story'!$L$2:$L$300,'User Story'!$B$2:$B$300,$A14)</f>
        <v/>
      </c>
      <c r="G14" s="26" t="inlineStr">
        <is>
          <t>• Giao diện khách hiển thị đúng ở độ rộng 360 px; chạy được trên Chrome, Safari, Edge, Firefox.</t>
        </is>
      </c>
    </row>
    <row r="15" ht="15" customHeight="1" s="18">
      <c r="A15" s="27" t="inlineStr">
        <is>
          <t>E3. Giỏ hàng và gửi đơn</t>
        </is>
      </c>
      <c r="B15" s="28">
        <f>COUNTIFS('User Story'!$B$2:$B$300,$A15)</f>
        <v/>
      </c>
      <c r="C15" s="28">
        <f>COUNTIFS('User Story'!$B$2:$B$300,$A15,'User Story'!$J$2:$J$300,"Bắt buộc")</f>
        <v/>
      </c>
      <c r="D15" s="28">
        <f>COUNTIFS('User Story'!$B$2:$B$300,$A15,'User Story'!$J$2:$J$300,"Nâng cao")</f>
        <v/>
      </c>
      <c r="E15" s="29">
        <f>SUMIFS('User Story'!$L$2:$L$300,'User Story'!$B$2:$B$300,$A15)</f>
        <v/>
      </c>
      <c r="G15" s="26" t="inlineStr">
        <is>
          <t>• Không còn lỗi nghiêm trọng đã biết; tài liệu liên quan (README, Route/API) đã cập nhật.</t>
        </is>
      </c>
    </row>
    <row r="16" ht="15" customHeight="1" s="18">
      <c r="A16" s="27" t="inlineStr">
        <is>
          <t>E4. Theo dõi đơn</t>
        </is>
      </c>
      <c r="B16" s="28">
        <f>COUNTIFS('User Story'!$B$2:$B$300,$A16)</f>
        <v/>
      </c>
      <c r="C16" s="28">
        <f>COUNTIFS('User Story'!$B$2:$B$300,$A16,'User Story'!$J$2:$J$300,"Bắt buộc")</f>
        <v/>
      </c>
      <c r="D16" s="28">
        <f>COUNTIFS('User Story'!$B$2:$B$300,$A16,'User Story'!$J$2:$J$300,"Nâng cao")</f>
        <v/>
      </c>
      <c r="E16" s="29">
        <f>SUMIFS('User Story'!$L$2:$L$300,'User Story'!$B$2:$B$300,$A16)</f>
        <v/>
      </c>
      <c r="G16" s="25" t="inlineStr">
        <is>
          <t>Lưu ý</t>
        </is>
      </c>
    </row>
    <row r="17" ht="23.25" customHeight="1" s="18">
      <c r="A17" s="27" t="inlineStr">
        <is>
          <t>E5. Tiện ích cho khách</t>
        </is>
      </c>
      <c r="B17" s="28">
        <f>COUNTIFS('User Story'!$B$2:$B$300,$A17)</f>
        <v/>
      </c>
      <c r="C17" s="28">
        <f>COUNTIFS('User Story'!$B$2:$B$300,$A17,'User Story'!$J$2:$J$300,"Bắt buộc")</f>
        <v/>
      </c>
      <c r="D17" s="28">
        <f>COUNTIFS('User Story'!$B$2:$B$300,$A17,'User Story'!$J$2:$J$300,"Nâng cao")</f>
        <v/>
      </c>
      <c r="E17" s="29">
        <f>SUMIFS('User Story'!$L$2:$L$300,'User Story'!$B$2:$B$300,$A17)</f>
        <v/>
      </c>
      <c r="G17" s="26" t="inlineStr">
        <is>
          <t>• Tiêu chí viết theo dạng Cho (điều kiện), khi (hành động), thì (kết quả mong đợi). Mỗi tiêu chí là một ý để tester viết test case.</t>
        </is>
      </c>
    </row>
    <row r="18" ht="23.25" customHeight="1" s="18">
      <c r="A18" s="27" t="inlineStr">
        <is>
          <t>E6. Thiết lập quán</t>
        </is>
      </c>
      <c r="B18" s="28">
        <f>COUNTIFS('User Story'!$B$2:$B$300,$A18)</f>
        <v/>
      </c>
      <c r="C18" s="28">
        <f>COUNTIFS('User Story'!$B$2:$B$300,$A18,'User Story'!$J$2:$J$300,"Bắt buộc")</f>
        <v/>
      </c>
      <c r="D18" s="28">
        <f>COUNTIFS('User Story'!$B$2:$B$300,$A18,'User Story'!$J$2:$J$300,"Nâng cao")</f>
        <v/>
      </c>
      <c r="E18" s="29">
        <f>SUMIFS('User Story'!$L$2:$L$300,'User Story'!$B$2:$B$300,$A18)</f>
        <v/>
      </c>
      <c r="G18" s="26" t="inlineStr">
        <is>
          <t>• US-02 gắn với FR-01 nhưng là Nâng cao vì tài khoản khách chỉ tùy chọn. Các story Nâng cao chỉ làm khi còn thời gian.</t>
        </is>
      </c>
    </row>
    <row r="19" ht="15" customHeight="1" s="18">
      <c r="A19" s="27" t="inlineStr">
        <is>
          <t>E7. Quản lý menu</t>
        </is>
      </c>
      <c r="B19" s="28">
        <f>COUNTIFS('User Story'!$B$2:$B$300,$A19)</f>
        <v/>
      </c>
      <c r="C19" s="28">
        <f>COUNTIFS('User Story'!$B$2:$B$300,$A19,'User Story'!$J$2:$J$300,"Bắt buộc")</f>
        <v/>
      </c>
      <c r="D19" s="28">
        <f>COUNTIFS('User Story'!$B$2:$B$300,$A19,'User Story'!$J$2:$J$300,"Nâng cao")</f>
        <v/>
      </c>
      <c r="E19" s="29">
        <f>SUMIFS('User Story'!$L$2:$L$300,'User Story'!$B$2:$B$300,$A19)</f>
        <v/>
      </c>
    </row>
    <row r="20" ht="15" customHeight="1" s="18">
      <c r="A20" s="27" t="inlineStr">
        <is>
          <t>E8. Xử lý đơn</t>
        </is>
      </c>
      <c r="B20" s="28">
        <f>COUNTIFS('User Story'!$B$2:$B$300,$A20)</f>
        <v/>
      </c>
      <c r="C20" s="28">
        <f>COUNTIFS('User Story'!$B$2:$B$300,$A20,'User Story'!$J$2:$J$300,"Bắt buộc")</f>
        <v/>
      </c>
      <c r="D20" s="28">
        <f>COUNTIFS('User Story'!$B$2:$B$300,$A20,'User Story'!$J$2:$J$300,"Nâng cao")</f>
        <v/>
      </c>
      <c r="E20" s="29">
        <f>SUMIFS('User Story'!$L$2:$L$300,'User Story'!$B$2:$B$300,$A20)</f>
        <v/>
      </c>
    </row>
    <row r="21" ht="15" customHeight="1" s="18">
      <c r="A21" s="27" t="inlineStr">
        <is>
          <t>E9. Khuyến mãi và thống kê</t>
        </is>
      </c>
      <c r="B21" s="28">
        <f>COUNTIFS('User Story'!$B$2:$B$300,$A21)</f>
        <v/>
      </c>
      <c r="C21" s="28">
        <f>COUNTIFS('User Story'!$B$2:$B$300,$A21,'User Story'!$J$2:$J$300,"Bắt buộc")</f>
        <v/>
      </c>
      <c r="D21" s="28">
        <f>COUNTIFS('User Story'!$B$2:$B$300,$A21,'User Story'!$J$2:$J$300,"Nâng cao")</f>
        <v/>
      </c>
      <c r="E21" s="29">
        <f>SUMIFS('User Story'!$L$2:$L$300,'User Story'!$B$2:$B$300,$A21)</f>
        <v/>
      </c>
    </row>
    <row r="22" ht="15" customHeight="1" s="18">
      <c r="A22" s="27" t="inlineStr">
        <is>
          <t>E10. Quản trị hệ thống</t>
        </is>
      </c>
      <c r="B22" s="28">
        <f>COUNTIFS('User Story'!$B$2:$B$300,$A22)</f>
        <v/>
      </c>
      <c r="C22" s="28">
        <f>COUNTIFS('User Story'!$B$2:$B$300,$A22,'User Story'!$J$2:$J$300,"Bắt buộc")</f>
        <v/>
      </c>
      <c r="D22" s="28">
        <f>COUNTIFS('User Story'!$B$2:$B$300,$A22,'User Story'!$J$2:$J$300,"Nâng cao")</f>
        <v/>
      </c>
      <c r="E22" s="29">
        <f>SUMIFS('User Story'!$L$2:$L$300,'User Story'!$B$2:$B$300,$A22)</f>
        <v/>
      </c>
    </row>
    <row r="23" ht="15" customHeight="1" s="18">
      <c r="A23" s="30" t="inlineStr">
        <is>
          <t>Tổng cộng</t>
        </is>
      </c>
      <c r="B23" s="29">
        <f>SUM(B13:B22)</f>
        <v/>
      </c>
      <c r="C23" s="29">
        <f>SUM(C13:C22)</f>
        <v/>
      </c>
      <c r="D23" s="29">
        <f>SUM(D13:D22)</f>
        <v/>
      </c>
      <c r="E23" s="29">
        <f>SUM(E13:E22)</f>
        <v/>
      </c>
    </row>
    <row r="25" ht="15" customHeight="1" s="18">
      <c r="A25" s="24" t="inlineStr">
        <is>
          <t>3. Tiến độ</t>
        </is>
      </c>
    </row>
    <row r="26" ht="15" customHeight="1" s="18">
      <c r="A26" s="19" t="inlineStr">
        <is>
          <t>Trạng thái</t>
        </is>
      </c>
      <c r="B26" s="19" t="inlineStr">
        <is>
          <t>Số story</t>
        </is>
      </c>
      <c r="C26" s="19" t="inlineStr">
        <is>
          <t>Tỷ lệ</t>
        </is>
      </c>
    </row>
    <row r="27" ht="15" customHeight="1" s="18">
      <c r="A27" s="27" t="inlineStr">
        <is>
          <t>Chưa làm</t>
        </is>
      </c>
      <c r="B27" s="28">
        <f>COUNTIFS('User Story'!$M$2:$M$300,$A27)</f>
        <v/>
      </c>
      <c r="C27" s="31">
        <f>IF($B$30=0,0,B27/$B$30)</f>
        <v/>
      </c>
    </row>
    <row r="28" ht="15" customHeight="1" s="18">
      <c r="A28" s="27" t="inlineStr">
        <is>
          <t>Đang làm</t>
        </is>
      </c>
      <c r="B28" s="28">
        <f>COUNTIFS('User Story'!$M$2:$M$300,$A28)</f>
        <v/>
      </c>
      <c r="C28" s="31">
        <f>IF($B$30=0,0,B28/$B$30)</f>
        <v/>
      </c>
    </row>
    <row r="29" ht="15" customHeight="1" s="18">
      <c r="A29" s="27" t="inlineStr">
        <is>
          <t>Hoàn thành</t>
        </is>
      </c>
      <c r="B29" s="28">
        <f>COUNTIFS('User Story'!$M$2:$M$300,$A29)</f>
        <v/>
      </c>
      <c r="C29" s="31">
        <f>IF($B$30=0,0,B29/$B$30)</f>
        <v/>
      </c>
    </row>
    <row r="30" ht="15" customHeight="1" s="18">
      <c r="A30" s="30" t="inlineStr">
        <is>
          <t>Tổng cộng</t>
        </is>
      </c>
      <c r="B30" s="29">
        <f>SUM(B27:B29)</f>
        <v/>
      </c>
      <c r="C30" s="32">
        <f>SUM(C27:C29)</f>
        <v/>
      </c>
    </row>
    <row r="32" ht="15" customHeight="1" s="18">
      <c r="A32" s="24" t="inlineStr">
        <is>
          <t>Kiểm tra dữ liệu</t>
        </is>
      </c>
    </row>
    <row r="33" ht="15" customHeight="1" s="18">
      <c r="A33" s="33" t="inlineStr">
        <is>
          <t>Số story trong danh sách</t>
        </is>
      </c>
      <c r="B33" s="33">
        <f>COUNTA('User Story'!$A$2:$A$300)</f>
        <v/>
      </c>
    </row>
    <row r="34" ht="15" customHeight="1" s="18">
      <c r="A34" s="33" t="inlineStr">
        <is>
          <t>Khớp bảng Sprint</t>
        </is>
      </c>
      <c r="B34" s="24">
        <f>IF(B9=B33,"OK","Sai chính tả")</f>
        <v/>
      </c>
    </row>
    <row r="35" ht="15" customHeight="1" s="18">
      <c r="A35" s="33" t="inlineStr">
        <is>
          <t>Khớp bảng Epic</t>
        </is>
      </c>
      <c r="B35" s="24">
        <f>IF(B23=B33,"OK","Sai chính tả")</f>
        <v/>
      </c>
    </row>
    <row r="36" ht="15" customHeight="1" s="18">
      <c r="A36" s="33" t="inlineStr">
        <is>
          <t>Khớp bảng Tiến độ</t>
        </is>
      </c>
      <c r="B36" s="24">
        <f>IF(B30=B33,"OK","Sai chính tả")</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2026-10-06T01:46:15Z</dcterms:created>
  <dcterms:modified xmlns:dcterms="http://purl.org/dc/terms/" xmlns:xsi="http://www.w3.org/2001/XMLSchema-instance" xsi:type="dcterms:W3CDTF">2026-10-30T00:52:09Z</dcterms:modified>
  <cp:revision>0</cp:revision>
</cp:coreProperties>
</file>