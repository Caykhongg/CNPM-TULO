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sách chức năng" sheetId="1" state="visible" r:id="rId3"/>
    <sheet name="Tổng hợp" sheetId="2" state="visible" r:id="rId4"/>
    <sheet name="Cần chốt" sheetId="3" state="visible" r:id="rId5"/>
  </sheets>
  <definedNames>
    <definedName function="false" hidden="true" localSheetId="0" name="_xlnm._FilterDatabase" vbProcedure="false">'Danh sách chức năng'!$A$1:$L$52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<sst xmlns="http://schemas.openxmlformats.org/spreadsheetml/2006/main" count="607" uniqueCount="311">
  <si>
    <t xml:space="preserve">Mã FR</t>
  </si>
  <si>
    <t xml:space="preserve">Phân hệ</t>
  </si>
  <si>
    <t xml:space="preserve">Nhóm chức năng</t>
  </si>
  <si>
    <t xml:space="preserve">Tên chức năng</t>
  </si>
  <si>
    <t xml:space="preserve">Mô tả</t>
  </si>
  <si>
    <t xml:space="preserve">Actor</t>
  </si>
  <si>
    <t xml:space="preserve">Ưu tiên</t>
  </si>
  <si>
    <t xml:space="preserve">Sprint</t>
  </si>
  <si>
    <t xml:space="preserve">Ghi chú / Quy tắc nghiệp vụ</t>
  </si>
  <si>
    <t xml:space="preserve">Use Case</t>
  </si>
  <si>
    <t xml:space="preserve">User Story</t>
  </si>
  <si>
    <t xml:space="preserve">Trạng thái</t>
  </si>
  <si>
    <t xml:space="preserve">FR-01</t>
  </si>
  <si>
    <t xml:space="preserve">Chung</t>
  </si>
  <si>
    <t xml:space="preserve">Tài khoản</t>
  </si>
  <si>
    <t xml:space="preserve">Đăng ký tài khoản</t>
  </si>
  <si>
    <t xml:space="preserve">Chủ quán đăng ký tài khoản bằng email, số điện thoại, mật khẩu để quản lý quán. Khách hàng có thể đăng ký tùy chọn để lưu lịch sử gọi món, không bắt buộc khi đặt món. Email không được trùng.</t>
  </si>
  <si>
    <t xml:space="preserve">Chủ quán, Khách hàng (tùy chọn)</t>
  </si>
  <si>
    <t xml:space="preserve">Bắt buộc</t>
  </si>
  <si>
    <t xml:space="preserve">Sprint 1</t>
  </si>
  <si>
    <t xml:space="preserve">Mật khẩu lưu dạng băm (hash). Khách đặt món qua QR không cần tài khoản.</t>
  </si>
  <si>
    <t xml:space="preserve">Chưa làm</t>
  </si>
  <si>
    <t xml:space="preserve">FR-02</t>
  </si>
  <si>
    <t xml:space="preserve">Đăng nhập</t>
  </si>
  <si>
    <t xml:space="preserve">Đăng nhập bằng email và mật khẩu, sau đó chuyển hướng theo vai trò (chủ quán → bảng đơn, admin → trang quản trị, khách có tài khoản → trang menu).</t>
  </si>
  <si>
    <t xml:space="preserve">Chủ quán, Quản trị viên, Khách hàng (có tài khoản)</t>
  </si>
  <si>
    <t xml:space="preserve">Tài khoản bị khóa không đăng nhập được. Gợi ý dùng Flask-Login.</t>
  </si>
  <si>
    <t xml:space="preserve">FR-03</t>
  </si>
  <si>
    <t xml:space="preserve">Đăng xuất</t>
  </si>
  <si>
    <t xml:space="preserve">Kết thúc phiên đăng nhập và quay về trang chủ.</t>
  </si>
  <si>
    <t xml:space="preserve">FR-04</t>
  </si>
  <si>
    <t xml:space="preserve">Phân quyền truy cập</t>
  </si>
  <si>
    <t xml:space="preserve">Hệ thống chặn truy cập sai vai trò: khách chỉ vào được trang menu qua QR; chủ quán chỉ xem và sửa dữ liệu của quán mình; trang quản trị chỉ dành cho Admin.</t>
  </si>
  <si>
    <t xml:space="preserve">Hệ thống</t>
  </si>
  <si>
    <t xml:space="preserve">Trả mã 403 khi sai quyền. Làm bằng decorator kiểm tra vai trò.</t>
  </si>
  <si>
    <t xml:space="preserve">FR-05</t>
  </si>
  <si>
    <t xml:space="preserve">Cập nhật thông tin cá nhân và đổi mật khẩu</t>
  </si>
  <si>
    <t xml:space="preserve">Sửa họ tên, số điện thoại; đổi mật khẩu (nhập mật khẩu cũ).</t>
  </si>
  <si>
    <t xml:space="preserve">FR-10</t>
  </si>
  <si>
    <t xml:space="preserve">Khách hàng</t>
  </si>
  <si>
    <t xml:space="preserve">Gọi món tại bàn</t>
  </si>
  <si>
    <t xml:space="preserve">Quét mã QR tại bàn để mở menu</t>
  </si>
  <si>
    <t xml:space="preserve">Khách quét mã QR dán tại bàn bằng camera điện thoại. Hệ thống mở menu của đúng quán và gắn sẵn số bàn. Không cần cài ứng dụng và không cần đăng nhập.</t>
  </si>
  <si>
    <t xml:space="preserve">QR chứa đường dẫn kèm mã bàn ngẫu nhiên (qr_token). QR không hợp lệ, quán chưa duyệt hoặc bị khóa thì báo lỗi (BR-06). Phụ thuộc FR-33.</t>
  </si>
  <si>
    <t xml:space="preserve">FR-11</t>
  </si>
  <si>
    <t xml:space="preserve">Xem menu của quán</t>
  </si>
  <si>
    <t xml:space="preserve">Hiển thị món theo danh mục kèm giá, ảnh, trạng thái còn/hết. Món hết hiển thị mờ và không thêm được vào giỏ.</t>
  </si>
  <si>
    <t xml:space="preserve">BR-02: món hết không thêm được. Thiết kế ưu tiên điện thoại, hiển thị tên quán và số bàn ở đầu trang.</t>
  </si>
  <si>
    <t xml:space="preserve">FR-12</t>
  </si>
  <si>
    <t xml:space="preserve">Tìm món trong menu</t>
  </si>
  <si>
    <t xml:space="preserve">Tìm món theo tên trong menu của quán.</t>
  </si>
  <si>
    <t xml:space="preserve">FR-13</t>
  </si>
  <si>
    <t xml:space="preserve">Lọc món theo danh mục</t>
  </si>
  <si>
    <t xml:space="preserve">Chuyển nhanh giữa các danh mục (cà phê, trà sữa, đồ ăn...) trong menu.</t>
  </si>
  <si>
    <t xml:space="preserve">Danh mục do Admin quản lý (FR-53), Sprint 1 dùng danh mục nạp sẵn.</t>
  </si>
  <si>
    <t xml:space="preserve">FR-14</t>
  </si>
  <si>
    <t xml:space="preserve">Chọn món kèm tùy chọn</t>
  </si>
  <si>
    <t xml:space="preserve">Chọn size, topping (nhóm tùy chọn bắt buộc hoặc không), số lượng và ghi chú cho món.</t>
  </si>
  <si>
    <t xml:space="preserve">Sprint 2</t>
  </si>
  <si>
    <t xml:space="preserve">Cần bảng option_groups/options trong ERD. Chủ quán cấu hình ở FR-37.</t>
  </si>
  <si>
    <t xml:space="preserve">FR-15</t>
  </si>
  <si>
    <t xml:space="preserve">Giỏ hàng</t>
  </si>
  <si>
    <t xml:space="preserve">Thêm món vào giỏ hàng</t>
  </si>
  <si>
    <t xml:space="preserve">Thêm món đã chọn kèm tùy chọn vào giỏ.</t>
  </si>
  <si>
    <t xml:space="preserve">Giỏ gắn với quán và bàn đang quét. Quét QR của quán hoặc bàn khác thì giỏ cũ bị xóa.</t>
  </si>
  <si>
    <t xml:space="preserve">FR-16</t>
  </si>
  <si>
    <t xml:space="preserve">Quản lý giỏ hàng</t>
  </si>
  <si>
    <t xml:space="preserve">Xem giỏ, đổi số lượng, sửa tùy chọn, xóa món, xóa toàn bộ giỏ; hiển thị tạm tính.</t>
  </si>
  <si>
    <t xml:space="preserve">Đề xuất lưu giỏ trong session (không cần bảng).</t>
  </si>
  <si>
    <t xml:space="preserve">FR-17</t>
  </si>
  <si>
    <t xml:space="preserve">Gửi đơn gọi món tại bàn</t>
  </si>
  <si>
    <t xml:space="preserve">Xác nhận giỏ hàng để gửi đơn thẳng đến quầy bếp, kèm số bàn, tên gọi (tùy chọn) và ghi chú. Đơn ở trạng thái Chờ xác nhận.</t>
  </si>
  <si>
    <t xml:space="preserve">BR-01: mỗi đơn gắn với một bàn hợp lệ. BR-04: giá chốt tại thời điểm đặt. Khách gọi thêm món: mỗi lần gửi tạo một đơn mới cùng bàn. Kiểm tra món còn hàng và quán đang mở khi gửi.</t>
  </si>
  <si>
    <t xml:space="preserve">FR-18</t>
  </si>
  <si>
    <t xml:space="preserve">Chọn phương thức thanh toán</t>
  </si>
  <si>
    <t xml:space="preserve">Chọn trả tiền mặt tại quầy hoặc chuyển khoản/QR (hiển thị ảnh QR và số tài khoản của quán).</t>
  </si>
  <si>
    <t xml:space="preserve">Chủ quán xác nhận thanh toán ở FR-44. Thời điểm thanh toán (trước hay sau khi ăn) cần chốt.</t>
  </si>
  <si>
    <t xml:space="preserve">FR-19</t>
  </si>
  <si>
    <t xml:space="preserve">Theo dõi đơn</t>
  </si>
  <si>
    <t xml:space="preserve">Theo dõi trạng thái đơn</t>
  </si>
  <si>
    <t xml:space="preserve">Xem trạng thái các đơn đã gọi tại bàn trong lượt hiện tại; trang tự cập nhật khi quán đổi trạng thái.</t>
  </si>
  <si>
    <t xml:space="preserve">Trạng thái: Chờ xác nhận, Đang làm, Hoàn thành, Đã hủy. Không có 'Đang giao' vì khách ăn tại quán. Nhận diện đơn theo session. Dùng polling AJAX 5-10 giây.</t>
  </si>
  <si>
    <t xml:space="preserve">FR-20</t>
  </si>
  <si>
    <t xml:space="preserve">Hủy đơn</t>
  </si>
  <si>
    <t xml:space="preserve">Khách tự hủy đơn khi đơn còn ở trạng thái Chờ xác nhận.</t>
  </si>
  <si>
    <t xml:space="preserve">BR-03. Bổ sung so với bản ý tưởng.</t>
  </si>
  <si>
    <t xml:space="preserve">FR-21</t>
  </si>
  <si>
    <t xml:space="preserve">Tiện ích</t>
  </si>
  <si>
    <t xml:space="preserve">Xem lịch sử đơn hàng</t>
  </si>
  <si>
    <t xml:space="preserve">Khách có tài khoản xem các đơn đã gọi ở những lần trước và chi tiết từng đơn.</t>
  </si>
  <si>
    <t xml:space="preserve">Khách hàng (có tài khoản)</t>
  </si>
  <si>
    <t xml:space="preserve">Nâng cao</t>
  </si>
  <si>
    <t xml:space="preserve">Sprint 3</t>
  </si>
  <si>
    <t xml:space="preserve">Cần đăng nhập vì khách ẩn danh không có lịch sử.</t>
  </si>
  <si>
    <t xml:space="preserve">FR-22</t>
  </si>
  <si>
    <t xml:space="preserve">Đặt lại món đã gọi</t>
  </si>
  <si>
    <t xml:space="preserve">Thêm lại các món của đơn cũ vào giỏ (kiểm tra món còn hay hết và giá hiện tại).</t>
  </si>
  <si>
    <t xml:space="preserve">Phụ thuộc FR-21.</t>
  </si>
  <si>
    <t xml:space="preserve">FR-23</t>
  </si>
  <si>
    <t xml:space="preserve">Áp dụng mã giảm giá</t>
  </si>
  <si>
    <t xml:space="preserve">Nhập mã khi gửi đơn; kiểm tra hạn dùng, giá trị đơn tối thiểu, số lượt; trừ tiền tương ứng.</t>
  </si>
  <si>
    <t xml:space="preserve">Phụ thuộc FR-46.</t>
  </si>
  <si>
    <t xml:space="preserve">FR-24</t>
  </si>
  <si>
    <t xml:space="preserve">Đánh giá quán và món</t>
  </si>
  <si>
    <t xml:space="preserve">Sau khi đơn Hoàn thành, khách chấm 1-5 sao và nhận xét cho món hoặc quán.</t>
  </si>
  <si>
    <t xml:space="preserve">Mỗi đơn chỉ được đánh giá một lần. Có thể cho khách ẩn danh đánh giá theo mã đơn.</t>
  </si>
  <si>
    <t xml:space="preserve">FR-25</t>
  </si>
  <si>
    <t xml:space="preserve">Gợi ý món hay đặt</t>
  </si>
  <si>
    <t xml:space="preserve">Gợi ý món bán chạy của quán; khách có tài khoản được gợi ý thêm món đã gọi nhiều lần.</t>
  </si>
  <si>
    <t xml:space="preserve">Làm sau cùng, nếu còn thời gian.</t>
  </si>
  <si>
    <t xml:space="preserve">FR-26</t>
  </si>
  <si>
    <t xml:space="preserve">Gửi khiếu nại về đơn hàng</t>
  </si>
  <si>
    <t xml:space="preserve">Khách gửi khiếu nại kèm nội dung cho một đơn và theo dõi trạng thái xử lý.</t>
  </si>
  <si>
    <t xml:space="preserve">Bổ sung: để Admin có đầu vào cho FR-55.</t>
  </si>
  <si>
    <t xml:space="preserve">FR-27</t>
  </si>
  <si>
    <t xml:space="preserve">Ngoài phạm vi chính</t>
  </si>
  <si>
    <t xml:space="preserve">Thanh toán trực tuyến qua cổng thanh toán</t>
  </si>
  <si>
    <t xml:space="preserve">Tích hợp cổng thanh toán (ví dụ VNPay, MoMo bản thử nghiệm).</t>
  </si>
  <si>
    <t xml:space="preserve">Mở rộng</t>
  </si>
  <si>
    <t xml:space="preserve">Ngoài kế hoạch 10 tuần, thuộc hướng mở rộng.</t>
  </si>
  <si>
    <t xml:space="preserve">FR-28</t>
  </si>
  <si>
    <t xml:space="preserve">Đặt giao tận nơi hoặc mang đi</t>
  </si>
  <si>
    <t xml:space="preserve">Dành cho khách không ngồi tại quán: chọn giao tận nơi hoặc tự đến lấy.</t>
  </si>
  <si>
    <t xml:space="preserve">Chuyển ra ngoài phạm vi chính vì hệ thống tập trung vào ăn tại quán. Nếu làm sẽ cần thêm trạng thái Đang giao, phí giao hàng và FR-29.</t>
  </si>
  <si>
    <t xml:space="preserve">FR-29</t>
  </si>
  <si>
    <t xml:space="preserve">Quản lý địa chỉ giao hàng</t>
  </si>
  <si>
    <t xml:space="preserve">Thêm, sửa, xóa địa chỉ; đặt địa chỉ mặc định.</t>
  </si>
  <si>
    <t xml:space="preserve">Chỉ cần khi làm FR-28. Bảng addresses chưa cần trong bản đầu.</t>
  </si>
  <si>
    <t xml:space="preserve">FR-30</t>
  </si>
  <si>
    <t xml:space="preserve">Chủ quán</t>
  </si>
  <si>
    <t xml:space="preserve">Thông tin quán</t>
  </si>
  <si>
    <t xml:space="preserve">Đăng ký quán</t>
  </si>
  <si>
    <t xml:space="preserve">Chủ quán tạo hồ sơ quán (tên, địa chỉ, số điện thoại, ảnh). Quán ở trạng thái Chờ duyệt cho đến khi Admin duyệt.</t>
  </si>
  <si>
    <t xml:space="preserve">Cần chốt cách tạo tài khoản chủ quán (form đăng ký riêng).</t>
  </si>
  <si>
    <t xml:space="preserve">FR-31</t>
  </si>
  <si>
    <t xml:space="preserve">Cập nhật thông tin quán và giờ mở cửa</t>
  </si>
  <si>
    <t xml:space="preserve">Sửa thông tin quán và giờ mở/đóng cửa.</t>
  </si>
  <si>
    <t xml:space="preserve">Giờ mở cửa dùng để kiểm tra khi khách gửi đơn.</t>
  </si>
  <si>
    <t xml:space="preserve">FR-32</t>
  </si>
  <si>
    <t xml:space="preserve">Cấu hình thông tin nhận chuyển khoản</t>
  </si>
  <si>
    <t xml:space="preserve">Tải ảnh mã QR và nhập số tài khoản để khách chuyển khoản.</t>
  </si>
  <si>
    <t xml:space="preserve">Đi cùng FR-18. Bổ sung so với bản ý tưởng.</t>
  </si>
  <si>
    <t xml:space="preserve">FR-33</t>
  </si>
  <si>
    <t xml:space="preserve">Quản lý bàn</t>
  </si>
  <si>
    <t xml:space="preserve">Quản lý bàn và tạo mã QR</t>
  </si>
  <si>
    <t xml:space="preserve">Tạo danh sách bàn (số bàn), sinh mã QR cho từng bàn (thư viện qrcode), tải về hoặc in để dán lên bàn. Có thể tạo lại mã QR khi cần.</t>
  </si>
  <si>
    <t xml:space="preserve">Chức năng cốt lõi, nâng từ Nâng cao lên Bắt buộc. Cần bảng tables. Mọi đơn đều gắn với một bàn.</t>
  </si>
  <si>
    <t xml:space="preserve">FR-34</t>
  </si>
  <si>
    <t xml:space="preserve">Quản lý menu</t>
  </si>
  <si>
    <t xml:space="preserve">Thêm món</t>
  </si>
  <si>
    <t xml:space="preserve">Thêm món mới: tên, giá, ảnh, danh mục, mô tả.</t>
  </si>
  <si>
    <t xml:space="preserve">Kiểm tra giá lớn hơn 0, định dạng và dung lượng ảnh.</t>
  </si>
  <si>
    <t xml:space="preserve">FR-35</t>
  </si>
  <si>
    <t xml:space="preserve">Sửa món</t>
  </si>
  <si>
    <t xml:space="preserve">Sửa thông tin món (tên, giá, ảnh, danh mục).</t>
  </si>
  <si>
    <t xml:space="preserve">Đổi giá không ảnh hưởng đơn cũ (BR-04).</t>
  </si>
  <si>
    <t xml:space="preserve">FR-36</t>
  </si>
  <si>
    <t xml:space="preserve">Xóa món</t>
  </si>
  <si>
    <t xml:space="preserve">Xóa món khỏi menu.</t>
  </si>
  <si>
    <t xml:space="preserve">Dùng xóa mềm (ẩn món) để không mất dữ liệu đơn cũ.</t>
  </si>
  <si>
    <t xml:space="preserve">FR-37</t>
  </si>
  <si>
    <t xml:space="preserve">Quản lý tùy chọn món</t>
  </si>
  <si>
    <t xml:space="preserve">Tạo nhóm tùy chọn (size, topping) cho từng món, kèm giá cộng thêm và quy định bắt buộc hay không.</t>
  </si>
  <si>
    <t xml:space="preserve">Đi cùng FR-14. Bổ sung so với bản ý tưởng.</t>
  </si>
  <si>
    <t xml:space="preserve">FR-38</t>
  </si>
  <si>
    <t xml:space="preserve">Đánh dấu hết món hoặc còn món</t>
  </si>
  <si>
    <t xml:space="preserve">Bật/tắt trạng thái còn hàng của món chỉ bằng một thao tác.</t>
  </si>
  <si>
    <t xml:space="preserve">FR-39</t>
  </si>
  <si>
    <t xml:space="preserve">Xử lý đơn</t>
  </si>
  <si>
    <t xml:space="preserve">Xem danh sách đơn</t>
  </si>
  <si>
    <t xml:space="preserve">Danh sách đơn của quán hiển thị số bàn, lọc theo trạng thái và ngày.</t>
  </si>
  <si>
    <t xml:space="preserve">FR-40</t>
  </si>
  <si>
    <t xml:space="preserve">Nhận thông báo đơn mới</t>
  </si>
  <si>
    <t xml:space="preserve">Hiển thị thông báo (huy hiệu, âm báo) khi có đơn mới mà không cần tải lại trang.</t>
  </si>
  <si>
    <t xml:space="preserve">Chủ quán thường để máy tính bảng hoặc điện thoại tại quầy. Dùng polling AJAX 5-10 giây; Flask-SocketIO là lựa chọn nâng cao.</t>
  </si>
  <si>
    <t xml:space="preserve">FR-41</t>
  </si>
  <si>
    <t xml:space="preserve">Xem chi tiết đơn</t>
  </si>
  <si>
    <t xml:space="preserve">Xem số bàn, món, tùy chọn, ghi chú và thanh toán của đơn.</t>
  </si>
  <si>
    <t xml:space="preserve">FR-42</t>
  </si>
  <si>
    <t xml:space="preserve">Xác nhận hoặc từ chối đơn</t>
  </si>
  <si>
    <t xml:space="preserve">Xác nhận đơn (chuyển sang Đang làm) hoặc từ chối kèm lý do (chuyển sang Đã hủy).</t>
  </si>
  <si>
    <t xml:space="preserve">Giúp chặn đơn đùa hoặc đặt nhầm.</t>
  </si>
  <si>
    <t xml:space="preserve">FR-43</t>
  </si>
  <si>
    <t xml:space="preserve">Cập nhật trạng thái đơn</t>
  </si>
  <si>
    <t xml:space="preserve">Chuyển trạng thái đơn theo thứ tự hợp lệ: Chờ xác nhận → Đang làm → Hoàn thành.</t>
  </si>
  <si>
    <t xml:space="preserve">BR-05: không cho nhảy bước hoặc chuyển ngược.</t>
  </si>
  <si>
    <t xml:space="preserve">FR-44</t>
  </si>
  <si>
    <t xml:space="preserve">Xác nhận thanh toán</t>
  </si>
  <si>
    <t xml:space="preserve">Đánh dấu đơn đã thanh toán (tiền mặt tại quầy hoặc chuyển khoản đã nhận).</t>
  </si>
  <si>
    <t xml:space="preserve">Trạng thái thanh toán tách riêng khỏi trạng thái đơn.</t>
  </si>
  <si>
    <t xml:space="preserve">FR-45</t>
  </si>
  <si>
    <t xml:space="preserve">Tính tiền theo bàn</t>
  </si>
  <si>
    <t xml:space="preserve">Xem tổng tiền các đơn chưa thanh toán của một bàn để thu tiền một lần, sau đó đóng bàn.</t>
  </si>
  <si>
    <t xml:space="preserve">Bổ sung. Hữu ích khi khách gọi thêm nhiều lần.</t>
  </si>
  <si>
    <t xml:space="preserve">FR-46</t>
  </si>
  <si>
    <t xml:space="preserve">Khuyến mãi</t>
  </si>
  <si>
    <t xml:space="preserve">Quản lý mã giảm giá</t>
  </si>
  <si>
    <t xml:space="preserve">Tạo, sửa, xóa, bật/tắt mã giảm giá (giảm theo % hoặc số tiền, giá trị tối thiểu, thời hạn, số lượt).</t>
  </si>
  <si>
    <t xml:space="preserve">FR-47</t>
  </si>
  <si>
    <t xml:space="preserve">Thống kê</t>
  </si>
  <si>
    <t xml:space="preserve">Thống kê doanh thu</t>
  </si>
  <si>
    <t xml:space="preserve">Doanh thu theo ngày và theo tháng, hiển thị biểu đồ (Chart.js). Chỉ tính đơn Hoàn thành.</t>
  </si>
  <si>
    <t xml:space="preserve">FR-48</t>
  </si>
  <si>
    <t xml:space="preserve">Thống kê món bán chạy</t>
  </si>
  <si>
    <t xml:space="preserve">Xếp hạng món theo số lượng bán trong khoảng thời gian chọn.</t>
  </si>
  <si>
    <t xml:space="preserve">FR-49</t>
  </si>
  <si>
    <t xml:space="preserve">Đánh giá</t>
  </si>
  <si>
    <t xml:space="preserve">Xem đánh giá của khách</t>
  </si>
  <si>
    <t xml:space="preserve">Xem danh sách đánh giá và điểm trung bình của quán và từng món.</t>
  </si>
  <si>
    <t xml:space="preserve">Phụ thuộc FR-24.</t>
  </si>
  <si>
    <t xml:space="preserve">FR-50</t>
  </si>
  <si>
    <t xml:space="preserve">Quản trị viên</t>
  </si>
  <si>
    <t xml:space="preserve">Quản lý quán</t>
  </si>
  <si>
    <t xml:space="preserve">Duyệt hoặc từ chối quán</t>
  </si>
  <si>
    <t xml:space="preserve">Xem danh sách quán chờ duyệt, duyệt hoặc từ chối đăng ký quán.</t>
  </si>
  <si>
    <t xml:space="preserve">Đề xuất nâng lên Bắt buộc và đưa lên Sprint 1: quán phải được duyệt mới nhận đơn qua QR (BR-06). Bản ý tưởng xếp ở Sprint 3.</t>
  </si>
  <si>
    <t xml:space="preserve">FR-51</t>
  </si>
  <si>
    <t xml:space="preserve">Khóa hoặc mở khóa quán</t>
  </si>
  <si>
    <t xml:space="preserve">Khóa quán vi phạm (QR của quán ngừng hoạt động) hoặc mở khóa lại.</t>
  </si>
  <si>
    <t xml:space="preserve">FR-52</t>
  </si>
  <si>
    <t xml:space="preserve">Quản lý người dùng</t>
  </si>
  <si>
    <t xml:space="preserve">Xem, tìm kiếm, khóa/mở khóa tài khoản người dùng.</t>
  </si>
  <si>
    <t xml:space="preserve">FR-53</t>
  </si>
  <si>
    <t xml:space="preserve">Quản lý danh mục</t>
  </si>
  <si>
    <t xml:space="preserve">Quản lý danh mục món</t>
  </si>
  <si>
    <t xml:space="preserve">Thêm, sửa, xóa danh mục món.</t>
  </si>
  <si>
    <t xml:space="preserve">Sprint 1 nạp sẵn danh mục mẫu để chủ quán chọn.</t>
  </si>
  <si>
    <t xml:space="preserve">FR-54</t>
  </si>
  <si>
    <t xml:space="preserve">Thống kê toàn hệ thống</t>
  </si>
  <si>
    <t xml:space="preserve">Tổng số quán, người dùng, đơn hàng và doanh thu toàn hệ thống.</t>
  </si>
  <si>
    <t xml:space="preserve">FR-55</t>
  </si>
  <si>
    <t xml:space="preserve">Khiếu nại</t>
  </si>
  <si>
    <t xml:space="preserve">Xử lý khiếu nại</t>
  </si>
  <si>
    <t xml:space="preserve">Xem khiếu nại của khách, phản hồi và đóng khiếu nại.</t>
  </si>
  <si>
    <t xml:space="preserve">Phụ thuộc FR-26.</t>
  </si>
  <si>
    <t xml:space="preserve">Tổng hợp danh sách chức năng QuickOrder</t>
  </si>
  <si>
    <t xml:space="preserve">1. Theo phân hệ và mức ưu tiên</t>
  </si>
  <si>
    <t xml:space="preserve">Cách dùng</t>
  </si>
  <si>
    <t xml:space="preserve">Tổng</t>
  </si>
  <si>
    <t xml:space="preserve">• Phạm vi: khách ăn tại quán và gọi món qua mã QR đặt tại bàn (theo xác nhận của TV1). Giao hàng và mang đi chuyển sang mục Mở rộng.</t>
  </si>
  <si>
    <t xml:space="preserve">• Thêm chức năng mới ở dòng cuối của sheet 'Danh sách chức năng'. Chọn Phân hệ, Ưu tiên, Sprint, Trạng thái từ danh sách thả xuống để các bảng ở đây tự cập nhật (hỗ trợ tới dòng 300).</t>
  </si>
  <si>
    <t xml:space="preserve">• Cột 'Use Case' và 'User Story' để trống, điền mã UC-xx, US-xx khi hoàn thành các tài liệu đó, dùng cho bảng truy vết (RTM).</t>
  </si>
  <si>
    <t xml:space="preserve">• Cột Trạng thái dùng để theo dõi tiến độ phát triển: đổi sang 'Đang làm' hoặc 'Hoàn thành' theo từng Sprint.</t>
  </si>
  <si>
    <t xml:space="preserve">• Các chức năng ghi 'Bổ sung' (FR-20, FR-26, FR-32, FR-37, FR-45) là đề xuất thêm so với bản ý tưởng. FR-33 (QR bàn) và FR-50 (duyệt quán) được nâng lên Bắt buộc.</t>
  </si>
  <si>
    <t xml:space="preserve">Tổng cộng</t>
  </si>
  <si>
    <t xml:space="preserve">Nguồn dữ liệu và giả định:</t>
  </si>
  <si>
    <t xml:space="preserve">• Chức năng và mức ưu tiên (Bắt buộc/Nâng cao) lấy từ mục 5 của bản ý tưởng QuickOrder, đã điều chỉnh theo phạm vi ăn tại quán.</t>
  </si>
  <si>
    <t xml:space="preserve">2. Theo Sprint và mức ưu tiên</t>
  </si>
  <si>
    <t xml:space="preserve">• Sprint theo kế hoạch mục 11 (Sprint 1: tuần 4-5, Sprint 2: tuần 6-7, Sprint 3: tuần 8), có điều chỉnh: QR bàn đưa lên Sprint 1, luồng gọi món ở Sprint 2.</t>
  </si>
  <si>
    <t xml:space="preserve">• Mã BR-01 đến BR-06 là quy tắc nghiệp vụ dự kiến, sẽ được định nghĩa chính thức trong SRS.</t>
  </si>
  <si>
    <t xml:space="preserve">• Xem sheet 'Cần chốt' để biết các điểm cần nhóm quyết định.</t>
  </si>
  <si>
    <t xml:space="preserve">3. Tiến độ thực hiện</t>
  </si>
  <si>
    <t xml:space="preserve">Số chức năng</t>
  </si>
  <si>
    <t xml:space="preserve">Tỷ lệ</t>
  </si>
  <si>
    <t xml:space="preserve">Đang làm</t>
  </si>
  <si>
    <t xml:space="preserve">Hoàn thành</t>
  </si>
  <si>
    <t xml:space="preserve">Kiểm tra dữ liệu</t>
  </si>
  <si>
    <t xml:space="preserve">Số chức năng trong danh sách</t>
  </si>
  <si>
    <t xml:space="preserve">Khớp bảng 1 (phân hệ, ưu tiên)</t>
  </si>
  <si>
    <t xml:space="preserve">Khớp bảng 2 (Sprint, ưu tiên)</t>
  </si>
  <si>
    <t xml:space="preserve">Khớp bảng 3 (trạng thái)</t>
  </si>
  <si>
    <t xml:space="preserve">STT</t>
  </si>
  <si>
    <t xml:space="preserve">Vấn đề cần chốt</t>
  </si>
  <si>
    <t xml:space="preserve">Đề xuất của TV1</t>
  </si>
  <si>
    <t xml:space="preserve">FR liên quan</t>
  </si>
  <si>
    <t xml:space="preserve">Quyết định của nhóm</t>
  </si>
  <si>
    <t xml:space="preserve">Người chốt</t>
  </si>
  <si>
    <t xml:space="preserve">Ngày chốt</t>
  </si>
  <si>
    <t xml:space="preserve">Phạm vi sử dụng: khách ăn tại quán và gọi món qua mã QR ở bàn. Bản ý tưởng còn ghi giao tận nơi và tự đến lấy.</t>
  </si>
  <si>
    <t xml:space="preserve">Chỉ làm ăn tại quán. Giao tận nơi, mang đi và địa chỉ giao hàng chuyển sang mục Mở rộng (FR-27 đến FR-29). Cần cập nhật README và báo cáo ý tưởng cho khớp.</t>
  </si>
  <si>
    <t xml:space="preserve">FR-10, FR-28, FR-29</t>
  </si>
  <si>
    <t xml:space="preserve">Khách có cần đăng nhập để gọi món không?</t>
  </si>
  <si>
    <t xml:space="preserve">Không. Khách quét QR là gọi món được (đơn không gắn tài khoản). Tài khoản chỉ tùy chọn cho lịch sử, đặt lại món, gợi ý. Chủ quán và Admin vẫn phải đăng nhập.</t>
  </si>
  <si>
    <t xml:space="preserve">FR-01, FR-02, FR-21, FR-22</t>
  </si>
  <si>
    <t xml:space="preserve">Trạng thái đơn hàng.</t>
  </si>
  <si>
    <t xml:space="preserve">Chờ xác nhận → Đang làm → Hoàn thành, và Đã hủy. Bỏ 'Đang giao'. Trạng thái thanh toán (Chưa thanh toán/Đã thanh toán) tách riêng.</t>
  </si>
  <si>
    <t xml:space="preserve">FR-17, FR-19, FR-43</t>
  </si>
  <si>
    <t xml:space="preserve">Thời điểm và cách thanh toán: trả trước khi gửi đơn hay trả sau khi ăn?</t>
  </si>
  <si>
    <t xml:space="preserve">Trả sau tại quầy (tiền mặt hoặc chuyển khoản bằng QR của quán). Chủ quán xác nhận thủ công, không tích hợp cổng thanh toán.</t>
  </si>
  <si>
    <t xml:space="preserve">FR-18, FR-32, FR-44</t>
  </si>
  <si>
    <t xml:space="preserve">Khách gọi thêm món trong cùng lượt ngồi.</t>
  </si>
  <si>
    <t xml:space="preserve">Mỗi lần gửi tạo một đơn mới cùng bàn. Chủ quán xem theo bàn; tính tiền gộp theo bàn là chức năng nâng cao.</t>
  </si>
  <si>
    <t xml:space="preserve">FR-17, FR-45</t>
  </si>
  <si>
    <t xml:space="preserve">Chống đặt đùa hoặc đặt từ xa (người không ngồi tại quán quét lại ảnh QR).</t>
  </si>
  <si>
    <t xml:space="preserve">Chủ quán xác nhận hoặc từ chối từng đơn; mã bàn (qr_token) ngẫu nhiên, có thể tạo lại khi bị lộ.</t>
  </si>
  <si>
    <t xml:space="preserve">FR-33, FR-42</t>
  </si>
  <si>
    <t xml:space="preserve">Tùy chọn món (size, topping): bảng Dish trong CSDL sơ bộ chưa có chỗ lưu.</t>
  </si>
  <si>
    <t xml:space="preserve">Thêm bảng option_groups, options và order_item_options.</t>
  </si>
  <si>
    <t xml:space="preserve">FR-14, FR-37</t>
  </si>
  <si>
    <t xml:space="preserve">Giỏ hàng lưu ở đâu?</t>
  </si>
  <si>
    <t xml:space="preserve">Lưu trong session phía server, gắn với quán và bàn đang quét. Chỉ ghi CSDL khi gửi đơn.</t>
  </si>
  <si>
    <t xml:space="preserve">FR-15, FR-16</t>
  </si>
  <si>
    <t xml:space="preserve">Có vai trò 'nhân viên' riêng không?</t>
  </si>
  <si>
    <t xml:space="preserve">Chỉ 3 vai trò (Khách hàng, Chủ quán, Admin). Nhân viên dùng chung tài khoản chủ quán.</t>
  </si>
  <si>
    <t xml:space="preserve">FR-02, FR-04</t>
  </si>
  <si>
    <t xml:space="preserve">Cách thông báo đơn mới cho chủ quán.</t>
  </si>
  <si>
    <t xml:space="preserve">Dùng AJAX polling 5-10 giây (đơn giản, phù hợp Flask). Không dùng WebSocket trừ khi còn thời gian.</t>
  </si>
  <si>
    <t xml:space="preserve">FR-40, FR-19</t>
  </si>
  <si>
    <t xml:space="preserve">Admin duyệt quán làm ở Sprint nào?</t>
  </si>
  <si>
    <t xml:space="preserve">Đưa lên Sprint 1 vì quán phải được duyệt mới nhận đơn qua QR.</t>
  </si>
  <si>
    <t xml:space="preserve">Xóa món đã từng nằm trong đơn cũ.</t>
  </si>
  <si>
    <t xml:space="preserve">Xóa mềm (ẩn món). order_items lưu sẵn tên món và đơn giá tại thời điểm đặt.</t>
  </si>
  <si>
    <t xml:space="preserve">Cách đăng ký tài khoản chủ quán.</t>
  </si>
  <si>
    <t xml:space="preserve">Form đăng ký cho phép chọn vai trò 'Chủ quán' rồi tạo hồ sơ quán chờ duyệt. Admin được tạo sẵn trong CSDL.</t>
  </si>
  <si>
    <t xml:space="preserve">FR-30, FR-50</t>
  </si>
  <si>
    <t xml:space="preserve">Kế hoạch Sprint: QR bàn trong bản ý tưởng nằm ở Sprint 3 (Nâng cao).</t>
  </si>
  <si>
    <t xml:space="preserve">Đưa quản lý bàn và QR lên Sprint 1, luồng gọi món lên Sprint 2 vì đây là luồng cốt lõi của hệ thống.</t>
  </si>
  <si>
    <t xml:space="preserve">FR-10, FR-33</t>
  </si>
  <si>
    <t xml:space="preserve">Ai viết và ai chạy test case? Ảnh phân công ghi TV1, bản Word ghi TV5.</t>
  </si>
  <si>
    <t xml:space="preserve">TV1 thiết kế test case từ yêu cầu; TV5 thực thi kiểm thử, báo lỗi và tự động hóa.</t>
  </si>
  <si>
    <t xml:space="preserve">Toàn bộ</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</si>
</sst>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
      <b val="true"/>
      <sz val="14"/>
      <color rgb="FF1F4E79"/>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bgColor rgb="FFFCE4D6"/>
        </patternFill>
      </fill>
    </dxf>
    <dxf>
      <fill>
        <patternFill>
          <bgColor rgb="FFDDEBF7"/>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8"/>
    <col collapsed="false" customWidth="true" hidden="false" outlineLevel="0" max="4" min="4" style="0" width="32"/>
    <col collapsed="false" customWidth="true" hidden="false" outlineLevel="0" max="5" min="5" style="0" width="62"/>
    <col collapsed="false" customWidth="true" hidden="false" outlineLevel="0" max="6" min="6" style="0" width="24"/>
    <col collapsed="false" customWidth="true" hidden="false" outlineLevel="0" max="8" min="7" style="0" width="11"/>
    <col collapsed="false" customWidth="true" hidden="false" outlineLevel="0" max="9" min="9" style="0" width="58"/>
    <col collapsed="false" customWidth="true" hidden="false" outlineLevel="0" max="11" min="10" style="0" width="12"/>
    <col collapsed="false" customWidth="true" hidden="false" outlineLevel="0" max="12" min="12" style="0" width="13"/>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35.05" hidden="false" customHeight="false" outlineLevel="0" collapsed="false">
      <c r="A2" s="2" t="s">
        <v>12</v>
      </c>
      <c r="B2" s="3" t="s">
        <v>13</v>
      </c>
      <c r="C2" s="3" t="s">
        <v>14</v>
      </c>
      <c r="D2" s="4" t="s">
        <v>15</v>
      </c>
      <c r="E2" s="3" t="s">
        <v>16</v>
      </c>
      <c r="F2" s="3" t="s">
        <v>17</v>
      </c>
      <c r="G2" s="5" t="s">
        <v>18</v>
      </c>
      <c r="H2" s="5" t="s">
        <v>19</v>
      </c>
      <c r="I2" s="3" t="s">
        <v>20</v>
      </c>
      <c r="J2" s="5"/>
      <c r="K2" s="5"/>
      <c r="L2" s="5" t="s">
        <v>21</v>
      </c>
    </row>
    <row r="3" customFormat="false" ht="35.05" hidden="false" customHeight="false" outlineLevel="0" collapsed="false">
      <c r="A3" s="2" t="s">
        <v>22</v>
      </c>
      <c r="B3" s="3" t="s">
        <v>13</v>
      </c>
      <c r="C3" s="3" t="s">
        <v>14</v>
      </c>
      <c r="D3" s="4" t="s">
        <v>23</v>
      </c>
      <c r="E3" s="3" t="s">
        <v>24</v>
      </c>
      <c r="F3" s="3" t="s">
        <v>25</v>
      </c>
      <c r="G3" s="5" t="s">
        <v>18</v>
      </c>
      <c r="H3" s="5" t="s">
        <v>19</v>
      </c>
      <c r="I3" s="3" t="s">
        <v>26</v>
      </c>
      <c r="J3" s="5"/>
      <c r="K3" s="5"/>
      <c r="L3" s="5" t="s">
        <v>21</v>
      </c>
    </row>
    <row r="4" customFormat="false" ht="23.85" hidden="false" customHeight="false" outlineLevel="0" collapsed="false">
      <c r="A4" s="2" t="s">
        <v>27</v>
      </c>
      <c r="B4" s="3" t="s">
        <v>13</v>
      </c>
      <c r="C4" s="3" t="s">
        <v>14</v>
      </c>
      <c r="D4" s="4" t="s">
        <v>28</v>
      </c>
      <c r="E4" s="3" t="s">
        <v>29</v>
      </c>
      <c r="F4" s="3" t="s">
        <v>25</v>
      </c>
      <c r="G4" s="5" t="s">
        <v>18</v>
      </c>
      <c r="H4" s="5" t="s">
        <v>19</v>
      </c>
      <c r="I4" s="3"/>
      <c r="J4" s="5"/>
      <c r="K4" s="5"/>
      <c r="L4" s="5" t="s">
        <v>21</v>
      </c>
    </row>
    <row r="5" customFormat="false" ht="35.05" hidden="false" customHeight="false" outlineLevel="0" collapsed="false">
      <c r="A5" s="2" t="s">
        <v>30</v>
      </c>
      <c r="B5" s="3" t="s">
        <v>13</v>
      </c>
      <c r="C5" s="3" t="s">
        <v>14</v>
      </c>
      <c r="D5" s="4" t="s">
        <v>31</v>
      </c>
      <c r="E5" s="3" t="s">
        <v>32</v>
      </c>
      <c r="F5" s="3" t="s">
        <v>33</v>
      </c>
      <c r="G5" s="5" t="s">
        <v>18</v>
      </c>
      <c r="H5" s="5" t="s">
        <v>19</v>
      </c>
      <c r="I5" s="3" t="s">
        <v>34</v>
      </c>
      <c r="J5" s="5"/>
      <c r="K5" s="5"/>
      <c r="L5" s="5" t="s">
        <v>21</v>
      </c>
    </row>
    <row r="6" customFormat="false" ht="23.85" hidden="false" customHeight="false" outlineLevel="0" collapsed="false">
      <c r="A6" s="2" t="s">
        <v>35</v>
      </c>
      <c r="B6" s="3" t="s">
        <v>13</v>
      </c>
      <c r="C6" s="3" t="s">
        <v>14</v>
      </c>
      <c r="D6" s="4" t="s">
        <v>36</v>
      </c>
      <c r="E6" s="3" t="s">
        <v>37</v>
      </c>
      <c r="F6" s="3" t="s">
        <v>25</v>
      </c>
      <c r="G6" s="5" t="s">
        <v>18</v>
      </c>
      <c r="H6" s="5" t="s">
        <v>19</v>
      </c>
      <c r="I6" s="3"/>
      <c r="J6" s="5"/>
      <c r="K6" s="5"/>
      <c r="L6" s="5" t="s">
        <v>21</v>
      </c>
    </row>
    <row r="7" customFormat="false" ht="35.05" hidden="false" customHeight="false" outlineLevel="0" collapsed="false">
      <c r="A7" s="2" t="s">
        <v>38</v>
      </c>
      <c r="B7" s="3" t="s">
        <v>39</v>
      </c>
      <c r="C7" s="3" t="s">
        <v>40</v>
      </c>
      <c r="D7" s="4" t="s">
        <v>41</v>
      </c>
      <c r="E7" s="3" t="s">
        <v>42</v>
      </c>
      <c r="F7" s="3" t="s">
        <v>39</v>
      </c>
      <c r="G7" s="5" t="s">
        <v>18</v>
      </c>
      <c r="H7" s="5" t="s">
        <v>19</v>
      </c>
      <c r="I7" s="3" t="s">
        <v>43</v>
      </c>
      <c r="J7" s="5"/>
      <c r="K7" s="5"/>
      <c r="L7" s="5" t="s">
        <v>21</v>
      </c>
    </row>
    <row r="8" customFormat="false" ht="23.85" hidden="false" customHeight="false" outlineLevel="0" collapsed="false">
      <c r="A8" s="2" t="s">
        <v>44</v>
      </c>
      <c r="B8" s="3" t="s">
        <v>39</v>
      </c>
      <c r="C8" s="3" t="s">
        <v>40</v>
      </c>
      <c r="D8" s="4" t="s">
        <v>45</v>
      </c>
      <c r="E8" s="3" t="s">
        <v>46</v>
      </c>
      <c r="F8" s="3" t="s">
        <v>39</v>
      </c>
      <c r="G8" s="5" t="s">
        <v>18</v>
      </c>
      <c r="H8" s="5" t="s">
        <v>19</v>
      </c>
      <c r="I8" s="3" t="s">
        <v>47</v>
      </c>
      <c r="J8" s="5"/>
      <c r="K8" s="5"/>
      <c r="L8" s="5" t="s">
        <v>21</v>
      </c>
    </row>
    <row r="9" customFormat="false" ht="15" hidden="false" customHeight="false" outlineLevel="0" collapsed="false">
      <c r="A9" s="2" t="s">
        <v>48</v>
      </c>
      <c r="B9" s="3" t="s">
        <v>39</v>
      </c>
      <c r="C9" s="3" t="s">
        <v>40</v>
      </c>
      <c r="D9" s="4" t="s">
        <v>49</v>
      </c>
      <c r="E9" s="3" t="s">
        <v>50</v>
      </c>
      <c r="F9" s="3" t="s">
        <v>39</v>
      </c>
      <c r="G9" s="5" t="s">
        <v>18</v>
      </c>
      <c r="H9" s="5" t="s">
        <v>19</v>
      </c>
      <c r="I9" s="3"/>
      <c r="J9" s="5"/>
      <c r="K9" s="5"/>
      <c r="L9" s="5" t="s">
        <v>21</v>
      </c>
    </row>
    <row r="10" customFormat="false" ht="15" hidden="false" customHeight="false" outlineLevel="0" collapsed="false">
      <c r="A10" s="2" t="s">
        <v>51</v>
      </c>
      <c r="B10" s="3" t="s">
        <v>39</v>
      </c>
      <c r="C10" s="3" t="s">
        <v>40</v>
      </c>
      <c r="D10" s="4" t="s">
        <v>52</v>
      </c>
      <c r="E10" s="3" t="s">
        <v>53</v>
      </c>
      <c r="F10" s="3" t="s">
        <v>39</v>
      </c>
      <c r="G10" s="5" t="s">
        <v>18</v>
      </c>
      <c r="H10" s="5" t="s">
        <v>19</v>
      </c>
      <c r="I10" s="3" t="s">
        <v>54</v>
      </c>
      <c r="J10" s="5"/>
      <c r="K10" s="5"/>
      <c r="L10" s="5" t="s">
        <v>21</v>
      </c>
    </row>
    <row r="11" customFormat="false" ht="23.85" hidden="false" customHeight="false" outlineLevel="0" collapsed="false">
      <c r="A11" s="2" t="s">
        <v>55</v>
      </c>
      <c r="B11" s="3" t="s">
        <v>39</v>
      </c>
      <c r="C11" s="3" t="s">
        <v>40</v>
      </c>
      <c r="D11" s="4" t="s">
        <v>56</v>
      </c>
      <c r="E11" s="3" t="s">
        <v>57</v>
      </c>
      <c r="F11" s="3" t="s">
        <v>39</v>
      </c>
      <c r="G11" s="5" t="s">
        <v>18</v>
      </c>
      <c r="H11" s="5" t="s">
        <v>58</v>
      </c>
      <c r="I11" s="3" t="s">
        <v>59</v>
      </c>
      <c r="J11" s="5"/>
      <c r="K11" s="5"/>
      <c r="L11" s="5" t="s">
        <v>21</v>
      </c>
    </row>
    <row r="12" customFormat="false" ht="23.85" hidden="false" customHeight="false" outlineLevel="0" collapsed="false">
      <c r="A12" s="2" t="s">
        <v>60</v>
      </c>
      <c r="B12" s="3" t="s">
        <v>39</v>
      </c>
      <c r="C12" s="3" t="s">
        <v>61</v>
      </c>
      <c r="D12" s="4" t="s">
        <v>62</v>
      </c>
      <c r="E12" s="3" t="s">
        <v>63</v>
      </c>
      <c r="F12" s="3" t="s">
        <v>39</v>
      </c>
      <c r="G12" s="5" t="s">
        <v>18</v>
      </c>
      <c r="H12" s="5" t="s">
        <v>58</v>
      </c>
      <c r="I12" s="3" t="s">
        <v>64</v>
      </c>
      <c r="J12" s="5"/>
      <c r="K12" s="5"/>
      <c r="L12" s="5" t="s">
        <v>21</v>
      </c>
    </row>
    <row r="13" customFormat="false" ht="23.85" hidden="false" customHeight="false" outlineLevel="0" collapsed="false">
      <c r="A13" s="2" t="s">
        <v>65</v>
      </c>
      <c r="B13" s="3" t="s">
        <v>39</v>
      </c>
      <c r="C13" s="3" t="s">
        <v>61</v>
      </c>
      <c r="D13" s="4" t="s">
        <v>66</v>
      </c>
      <c r="E13" s="3" t="s">
        <v>67</v>
      </c>
      <c r="F13" s="3" t="s">
        <v>39</v>
      </c>
      <c r="G13" s="5" t="s">
        <v>18</v>
      </c>
      <c r="H13" s="5" t="s">
        <v>58</v>
      </c>
      <c r="I13" s="3" t="s">
        <v>68</v>
      </c>
      <c r="J13" s="5"/>
      <c r="K13" s="5"/>
      <c r="L13" s="5" t="s">
        <v>21</v>
      </c>
    </row>
    <row r="14" customFormat="false" ht="35.05" hidden="false" customHeight="false" outlineLevel="0" collapsed="false">
      <c r="A14" s="2" t="s">
        <v>69</v>
      </c>
      <c r="B14" s="3" t="s">
        <v>39</v>
      </c>
      <c r="C14" s="3" t="s">
        <v>40</v>
      </c>
      <c r="D14" s="4" t="s">
        <v>70</v>
      </c>
      <c r="E14" s="3" t="s">
        <v>71</v>
      </c>
      <c r="F14" s="3" t="s">
        <v>39</v>
      </c>
      <c r="G14" s="5" t="s">
        <v>18</v>
      </c>
      <c r="H14" s="5" t="s">
        <v>58</v>
      </c>
      <c r="I14" s="3" t="s">
        <v>72</v>
      </c>
      <c r="J14" s="5"/>
      <c r="K14" s="5"/>
      <c r="L14" s="5" t="s">
        <v>21</v>
      </c>
    </row>
    <row r="15" customFormat="false" ht="23.85" hidden="false" customHeight="false" outlineLevel="0" collapsed="false">
      <c r="A15" s="2" t="s">
        <v>73</v>
      </c>
      <c r="B15" s="3" t="s">
        <v>39</v>
      </c>
      <c r="C15" s="3" t="s">
        <v>40</v>
      </c>
      <c r="D15" s="4" t="s">
        <v>74</v>
      </c>
      <c r="E15" s="3" t="s">
        <v>75</v>
      </c>
      <c r="F15" s="3" t="s">
        <v>39</v>
      </c>
      <c r="G15" s="5" t="s">
        <v>18</v>
      </c>
      <c r="H15" s="5" t="s">
        <v>58</v>
      </c>
      <c r="I15" s="3" t="s">
        <v>76</v>
      </c>
      <c r="J15" s="5"/>
      <c r="K15" s="5"/>
      <c r="L15" s="5" t="s">
        <v>21</v>
      </c>
    </row>
    <row r="16" customFormat="false" ht="35.05" hidden="false" customHeight="false" outlineLevel="0" collapsed="false">
      <c r="A16" s="2" t="s">
        <v>77</v>
      </c>
      <c r="B16" s="3" t="s">
        <v>39</v>
      </c>
      <c r="C16" s="3" t="s">
        <v>78</v>
      </c>
      <c r="D16" s="4" t="s">
        <v>79</v>
      </c>
      <c r="E16" s="3" t="s">
        <v>80</v>
      </c>
      <c r="F16" s="3" t="s">
        <v>39</v>
      </c>
      <c r="G16" s="5" t="s">
        <v>18</v>
      </c>
      <c r="H16" s="5" t="s">
        <v>58</v>
      </c>
      <c r="I16" s="3" t="s">
        <v>81</v>
      </c>
      <c r="J16" s="5"/>
      <c r="K16" s="5"/>
      <c r="L16" s="5" t="s">
        <v>21</v>
      </c>
    </row>
    <row r="17" customFormat="false" ht="15" hidden="false" customHeight="false" outlineLevel="0" collapsed="false">
      <c r="A17" s="2" t="s">
        <v>82</v>
      </c>
      <c r="B17" s="3" t="s">
        <v>39</v>
      </c>
      <c r="C17" s="3" t="s">
        <v>78</v>
      </c>
      <c r="D17" s="4" t="s">
        <v>83</v>
      </c>
      <c r="E17" s="3" t="s">
        <v>84</v>
      </c>
      <c r="F17" s="3" t="s">
        <v>39</v>
      </c>
      <c r="G17" s="5" t="s">
        <v>18</v>
      </c>
      <c r="H17" s="5" t="s">
        <v>58</v>
      </c>
      <c r="I17" s="3" t="s">
        <v>85</v>
      </c>
      <c r="J17" s="5"/>
      <c r="K17" s="5"/>
      <c r="L17" s="5" t="s">
        <v>21</v>
      </c>
    </row>
    <row r="18" customFormat="false" ht="23.85" hidden="false" customHeight="false" outlineLevel="0" collapsed="false">
      <c r="A18" s="2" t="s">
        <v>86</v>
      </c>
      <c r="B18" s="3" t="s">
        <v>39</v>
      </c>
      <c r="C18" s="3" t="s">
        <v>87</v>
      </c>
      <c r="D18" s="4" t="s">
        <v>88</v>
      </c>
      <c r="E18" s="3" t="s">
        <v>89</v>
      </c>
      <c r="F18" s="3" t="s">
        <v>90</v>
      </c>
      <c r="G18" s="5" t="s">
        <v>91</v>
      </c>
      <c r="H18" s="5" t="s">
        <v>92</v>
      </c>
      <c r="I18" s="3" t="s">
        <v>93</v>
      </c>
      <c r="J18" s="5"/>
      <c r="K18" s="5"/>
      <c r="L18" s="5" t="s">
        <v>21</v>
      </c>
    </row>
    <row r="19" customFormat="false" ht="23.85" hidden="false" customHeight="false" outlineLevel="0" collapsed="false">
      <c r="A19" s="2" t="s">
        <v>94</v>
      </c>
      <c r="B19" s="3" t="s">
        <v>39</v>
      </c>
      <c r="C19" s="3" t="s">
        <v>87</v>
      </c>
      <c r="D19" s="4" t="s">
        <v>95</v>
      </c>
      <c r="E19" s="3" t="s">
        <v>96</v>
      </c>
      <c r="F19" s="3" t="s">
        <v>90</v>
      </c>
      <c r="G19" s="5" t="s">
        <v>91</v>
      </c>
      <c r="H19" s="5" t="s">
        <v>92</v>
      </c>
      <c r="I19" s="3" t="s">
        <v>97</v>
      </c>
      <c r="J19" s="5"/>
      <c r="K19" s="5"/>
      <c r="L19" s="5" t="s">
        <v>21</v>
      </c>
    </row>
    <row r="20" customFormat="false" ht="23.85" hidden="false" customHeight="false" outlineLevel="0" collapsed="false">
      <c r="A20" s="2" t="s">
        <v>98</v>
      </c>
      <c r="B20" s="3" t="s">
        <v>39</v>
      </c>
      <c r="C20" s="3" t="s">
        <v>87</v>
      </c>
      <c r="D20" s="4" t="s">
        <v>99</v>
      </c>
      <c r="E20" s="3" t="s">
        <v>100</v>
      </c>
      <c r="F20" s="3" t="s">
        <v>39</v>
      </c>
      <c r="G20" s="5" t="s">
        <v>91</v>
      </c>
      <c r="H20" s="5" t="s">
        <v>92</v>
      </c>
      <c r="I20" s="3" t="s">
        <v>101</v>
      </c>
      <c r="J20" s="5"/>
      <c r="K20" s="5"/>
      <c r="L20" s="5" t="s">
        <v>21</v>
      </c>
    </row>
    <row r="21" customFormat="false" ht="23.85" hidden="false" customHeight="false" outlineLevel="0" collapsed="false">
      <c r="A21" s="2" t="s">
        <v>102</v>
      </c>
      <c r="B21" s="3" t="s">
        <v>39</v>
      </c>
      <c r="C21" s="3" t="s">
        <v>87</v>
      </c>
      <c r="D21" s="4" t="s">
        <v>103</v>
      </c>
      <c r="E21" s="3" t="s">
        <v>104</v>
      </c>
      <c r="F21" s="3" t="s">
        <v>39</v>
      </c>
      <c r="G21" s="5" t="s">
        <v>91</v>
      </c>
      <c r="H21" s="5" t="s">
        <v>92</v>
      </c>
      <c r="I21" s="3" t="s">
        <v>105</v>
      </c>
      <c r="J21" s="5"/>
      <c r="K21" s="5"/>
      <c r="L21" s="5" t="s">
        <v>21</v>
      </c>
    </row>
    <row r="22" customFormat="false" ht="23.85" hidden="false" customHeight="false" outlineLevel="0" collapsed="false">
      <c r="A22" s="2" t="s">
        <v>106</v>
      </c>
      <c r="B22" s="3" t="s">
        <v>39</v>
      </c>
      <c r="C22" s="3" t="s">
        <v>87</v>
      </c>
      <c r="D22" s="4" t="s">
        <v>107</v>
      </c>
      <c r="E22" s="3" t="s">
        <v>108</v>
      </c>
      <c r="F22" s="3" t="s">
        <v>39</v>
      </c>
      <c r="G22" s="5" t="s">
        <v>91</v>
      </c>
      <c r="H22" s="5" t="s">
        <v>92</v>
      </c>
      <c r="I22" s="3" t="s">
        <v>109</v>
      </c>
      <c r="J22" s="5"/>
      <c r="K22" s="5"/>
      <c r="L22" s="5" t="s">
        <v>21</v>
      </c>
    </row>
    <row r="23" customFormat="false" ht="15" hidden="false" customHeight="false" outlineLevel="0" collapsed="false">
      <c r="A23" s="2" t="s">
        <v>110</v>
      </c>
      <c r="B23" s="3" t="s">
        <v>39</v>
      </c>
      <c r="C23" s="3" t="s">
        <v>87</v>
      </c>
      <c r="D23" s="4" t="s">
        <v>111</v>
      </c>
      <c r="E23" s="3" t="s">
        <v>112</v>
      </c>
      <c r="F23" s="3" t="s">
        <v>39</v>
      </c>
      <c r="G23" s="5" t="s">
        <v>91</v>
      </c>
      <c r="H23" s="5" t="s">
        <v>92</v>
      </c>
      <c r="I23" s="3" t="s">
        <v>113</v>
      </c>
      <c r="J23" s="5"/>
      <c r="K23" s="5"/>
      <c r="L23" s="5" t="s">
        <v>21</v>
      </c>
    </row>
    <row r="24" customFormat="false" ht="23.85" hidden="false" customHeight="false" outlineLevel="0" collapsed="false">
      <c r="A24" s="2" t="s">
        <v>114</v>
      </c>
      <c r="B24" s="3" t="s">
        <v>39</v>
      </c>
      <c r="C24" s="3" t="s">
        <v>115</v>
      </c>
      <c r="D24" s="4" t="s">
        <v>116</v>
      </c>
      <c r="E24" s="3" t="s">
        <v>117</v>
      </c>
      <c r="F24" s="3" t="s">
        <v>39</v>
      </c>
      <c r="G24" s="5" t="s">
        <v>91</v>
      </c>
      <c r="H24" s="5" t="s">
        <v>118</v>
      </c>
      <c r="I24" s="3" t="s">
        <v>119</v>
      </c>
      <c r="J24" s="5"/>
      <c r="K24" s="5"/>
      <c r="L24" s="5" t="s">
        <v>21</v>
      </c>
    </row>
    <row r="25" customFormat="false" ht="23.85" hidden="false" customHeight="false" outlineLevel="0" collapsed="false">
      <c r="A25" s="2" t="s">
        <v>120</v>
      </c>
      <c r="B25" s="3" t="s">
        <v>39</v>
      </c>
      <c r="C25" s="3" t="s">
        <v>115</v>
      </c>
      <c r="D25" s="4" t="s">
        <v>121</v>
      </c>
      <c r="E25" s="3" t="s">
        <v>122</v>
      </c>
      <c r="F25" s="3" t="s">
        <v>39</v>
      </c>
      <c r="G25" s="5" t="s">
        <v>91</v>
      </c>
      <c r="H25" s="5" t="s">
        <v>118</v>
      </c>
      <c r="I25" s="3" t="s">
        <v>123</v>
      </c>
      <c r="J25" s="5"/>
      <c r="K25" s="5"/>
      <c r="L25" s="5" t="s">
        <v>21</v>
      </c>
    </row>
    <row r="26" customFormat="false" ht="15" hidden="false" customHeight="false" outlineLevel="0" collapsed="false">
      <c r="A26" s="2" t="s">
        <v>124</v>
      </c>
      <c r="B26" s="3" t="s">
        <v>39</v>
      </c>
      <c r="C26" s="3" t="s">
        <v>115</v>
      </c>
      <c r="D26" s="4" t="s">
        <v>125</v>
      </c>
      <c r="E26" s="3" t="s">
        <v>126</v>
      </c>
      <c r="F26" s="3" t="s">
        <v>90</v>
      </c>
      <c r="G26" s="5" t="s">
        <v>91</v>
      </c>
      <c r="H26" s="5" t="s">
        <v>118</v>
      </c>
      <c r="I26" s="3" t="s">
        <v>127</v>
      </c>
      <c r="J26" s="5"/>
      <c r="K26" s="5"/>
      <c r="L26" s="5" t="s">
        <v>21</v>
      </c>
    </row>
    <row r="27" customFormat="false" ht="23.85" hidden="false" customHeight="false" outlineLevel="0" collapsed="false">
      <c r="A27" s="2" t="s">
        <v>128</v>
      </c>
      <c r="B27" s="3" t="s">
        <v>129</v>
      </c>
      <c r="C27" s="3" t="s">
        <v>130</v>
      </c>
      <c r="D27" s="4" t="s">
        <v>131</v>
      </c>
      <c r="E27" s="3" t="s">
        <v>132</v>
      </c>
      <c r="F27" s="3" t="s">
        <v>129</v>
      </c>
      <c r="G27" s="5" t="s">
        <v>18</v>
      </c>
      <c r="H27" s="5" t="s">
        <v>19</v>
      </c>
      <c r="I27" s="3" t="s">
        <v>133</v>
      </c>
      <c r="J27" s="5"/>
      <c r="K27" s="5"/>
      <c r="L27" s="5" t="s">
        <v>21</v>
      </c>
    </row>
    <row r="28" customFormat="false" ht="23.85" hidden="false" customHeight="false" outlineLevel="0" collapsed="false">
      <c r="A28" s="2" t="s">
        <v>134</v>
      </c>
      <c r="B28" s="3" t="s">
        <v>129</v>
      </c>
      <c r="C28" s="3" t="s">
        <v>130</v>
      </c>
      <c r="D28" s="4" t="s">
        <v>135</v>
      </c>
      <c r="E28" s="3" t="s">
        <v>136</v>
      </c>
      <c r="F28" s="3" t="s">
        <v>129</v>
      </c>
      <c r="G28" s="5" t="s">
        <v>18</v>
      </c>
      <c r="H28" s="5" t="s">
        <v>19</v>
      </c>
      <c r="I28" s="3" t="s">
        <v>137</v>
      </c>
      <c r="J28" s="5"/>
      <c r="K28" s="5"/>
      <c r="L28" s="5" t="s">
        <v>21</v>
      </c>
    </row>
    <row r="29" customFormat="false" ht="23.85" hidden="false" customHeight="false" outlineLevel="0" collapsed="false">
      <c r="A29" s="2" t="s">
        <v>138</v>
      </c>
      <c r="B29" s="3" t="s">
        <v>129</v>
      </c>
      <c r="C29" s="3" t="s">
        <v>130</v>
      </c>
      <c r="D29" s="4" t="s">
        <v>139</v>
      </c>
      <c r="E29" s="3" t="s">
        <v>140</v>
      </c>
      <c r="F29" s="3" t="s">
        <v>129</v>
      </c>
      <c r="G29" s="5" t="s">
        <v>18</v>
      </c>
      <c r="H29" s="5" t="s">
        <v>58</v>
      </c>
      <c r="I29" s="3" t="s">
        <v>141</v>
      </c>
      <c r="J29" s="5"/>
      <c r="K29" s="5"/>
      <c r="L29" s="5" t="s">
        <v>21</v>
      </c>
    </row>
    <row r="30" customFormat="false" ht="23.85" hidden="false" customHeight="false" outlineLevel="0" collapsed="false">
      <c r="A30" s="2" t="s">
        <v>142</v>
      </c>
      <c r="B30" s="3" t="s">
        <v>129</v>
      </c>
      <c r="C30" s="3" t="s">
        <v>143</v>
      </c>
      <c r="D30" s="4" t="s">
        <v>144</v>
      </c>
      <c r="E30" s="3" t="s">
        <v>145</v>
      </c>
      <c r="F30" s="3" t="s">
        <v>129</v>
      </c>
      <c r="G30" s="5" t="s">
        <v>18</v>
      </c>
      <c r="H30" s="5" t="s">
        <v>19</v>
      </c>
      <c r="I30" s="3" t="s">
        <v>146</v>
      </c>
      <c r="J30" s="5"/>
      <c r="K30" s="5"/>
      <c r="L30" s="5" t="s">
        <v>21</v>
      </c>
    </row>
    <row r="31" customFormat="false" ht="15" hidden="false" customHeight="false" outlineLevel="0" collapsed="false">
      <c r="A31" s="2" t="s">
        <v>147</v>
      </c>
      <c r="B31" s="3" t="s">
        <v>129</v>
      </c>
      <c r="C31" s="3" t="s">
        <v>148</v>
      </c>
      <c r="D31" s="4" t="s">
        <v>149</v>
      </c>
      <c r="E31" s="3" t="s">
        <v>150</v>
      </c>
      <c r="F31" s="3" t="s">
        <v>129</v>
      </c>
      <c r="G31" s="5" t="s">
        <v>18</v>
      </c>
      <c r="H31" s="5" t="s">
        <v>19</v>
      </c>
      <c r="I31" s="3" t="s">
        <v>151</v>
      </c>
      <c r="J31" s="5"/>
      <c r="K31" s="5"/>
      <c r="L31" s="5" t="s">
        <v>21</v>
      </c>
    </row>
    <row r="32" customFormat="false" ht="15" hidden="false" customHeight="false" outlineLevel="0" collapsed="false">
      <c r="A32" s="2" t="s">
        <v>152</v>
      </c>
      <c r="B32" s="3" t="s">
        <v>129</v>
      </c>
      <c r="C32" s="3" t="s">
        <v>148</v>
      </c>
      <c r="D32" s="4" t="s">
        <v>153</v>
      </c>
      <c r="E32" s="3" t="s">
        <v>154</v>
      </c>
      <c r="F32" s="3" t="s">
        <v>129</v>
      </c>
      <c r="G32" s="5" t="s">
        <v>18</v>
      </c>
      <c r="H32" s="5" t="s">
        <v>19</v>
      </c>
      <c r="I32" s="3" t="s">
        <v>155</v>
      </c>
      <c r="J32" s="5"/>
      <c r="K32" s="5"/>
      <c r="L32" s="5" t="s">
        <v>21</v>
      </c>
    </row>
    <row r="33" customFormat="false" ht="15" hidden="false" customHeight="false" outlineLevel="0" collapsed="false">
      <c r="A33" s="2" t="s">
        <v>156</v>
      </c>
      <c r="B33" s="3" t="s">
        <v>129</v>
      </c>
      <c r="C33" s="3" t="s">
        <v>148</v>
      </c>
      <c r="D33" s="4" t="s">
        <v>157</v>
      </c>
      <c r="E33" s="3" t="s">
        <v>158</v>
      </c>
      <c r="F33" s="3" t="s">
        <v>129</v>
      </c>
      <c r="G33" s="5" t="s">
        <v>18</v>
      </c>
      <c r="H33" s="5" t="s">
        <v>19</v>
      </c>
      <c r="I33" s="3" t="s">
        <v>159</v>
      </c>
      <c r="J33" s="5"/>
      <c r="K33" s="5"/>
      <c r="L33" s="5" t="s">
        <v>21</v>
      </c>
    </row>
    <row r="34" customFormat="false" ht="23.85" hidden="false" customHeight="false" outlineLevel="0" collapsed="false">
      <c r="A34" s="2" t="s">
        <v>160</v>
      </c>
      <c r="B34" s="3" t="s">
        <v>129</v>
      </c>
      <c r="C34" s="3" t="s">
        <v>148</v>
      </c>
      <c r="D34" s="4" t="s">
        <v>161</v>
      </c>
      <c r="E34" s="3" t="s">
        <v>162</v>
      </c>
      <c r="F34" s="3" t="s">
        <v>129</v>
      </c>
      <c r="G34" s="5" t="s">
        <v>18</v>
      </c>
      <c r="H34" s="5" t="s">
        <v>58</v>
      </c>
      <c r="I34" s="3" t="s">
        <v>163</v>
      </c>
      <c r="J34" s="5"/>
      <c r="K34" s="5"/>
      <c r="L34" s="5" t="s">
        <v>21</v>
      </c>
    </row>
    <row r="35" customFormat="false" ht="15" hidden="false" customHeight="false" outlineLevel="0" collapsed="false">
      <c r="A35" s="2" t="s">
        <v>164</v>
      </c>
      <c r="B35" s="3" t="s">
        <v>129</v>
      </c>
      <c r="C35" s="3" t="s">
        <v>148</v>
      </c>
      <c r="D35" s="4" t="s">
        <v>165</v>
      </c>
      <c r="E35" s="3" t="s">
        <v>166</v>
      </c>
      <c r="F35" s="3" t="s">
        <v>129</v>
      </c>
      <c r="G35" s="5" t="s">
        <v>18</v>
      </c>
      <c r="H35" s="5" t="s">
        <v>19</v>
      </c>
      <c r="I35" s="3"/>
      <c r="J35" s="5"/>
      <c r="K35" s="5"/>
      <c r="L35" s="5" t="s">
        <v>21</v>
      </c>
    </row>
    <row r="36" customFormat="false" ht="15" hidden="false" customHeight="false" outlineLevel="0" collapsed="false">
      <c r="A36" s="2" t="s">
        <v>167</v>
      </c>
      <c r="B36" s="3" t="s">
        <v>129</v>
      </c>
      <c r="C36" s="3" t="s">
        <v>168</v>
      </c>
      <c r="D36" s="4" t="s">
        <v>169</v>
      </c>
      <c r="E36" s="3" t="s">
        <v>170</v>
      </c>
      <c r="F36" s="3" t="s">
        <v>129</v>
      </c>
      <c r="G36" s="5" t="s">
        <v>18</v>
      </c>
      <c r="H36" s="5" t="s">
        <v>58</v>
      </c>
      <c r="I36" s="3"/>
      <c r="J36" s="5"/>
      <c r="K36" s="5"/>
      <c r="L36" s="5" t="s">
        <v>21</v>
      </c>
    </row>
    <row r="37" customFormat="false" ht="23.85" hidden="false" customHeight="false" outlineLevel="0" collapsed="false">
      <c r="A37" s="2" t="s">
        <v>171</v>
      </c>
      <c r="B37" s="3" t="s">
        <v>129</v>
      </c>
      <c r="C37" s="3" t="s">
        <v>168</v>
      </c>
      <c r="D37" s="4" t="s">
        <v>172</v>
      </c>
      <c r="E37" s="3" t="s">
        <v>173</v>
      </c>
      <c r="F37" s="3" t="s">
        <v>129</v>
      </c>
      <c r="G37" s="5" t="s">
        <v>18</v>
      </c>
      <c r="H37" s="5" t="s">
        <v>58</v>
      </c>
      <c r="I37" s="3" t="s">
        <v>174</v>
      </c>
      <c r="J37" s="5"/>
      <c r="K37" s="5"/>
      <c r="L37" s="5" t="s">
        <v>21</v>
      </c>
    </row>
    <row r="38" customFormat="false" ht="15" hidden="false" customHeight="false" outlineLevel="0" collapsed="false">
      <c r="A38" s="2" t="s">
        <v>175</v>
      </c>
      <c r="B38" s="3" t="s">
        <v>129</v>
      </c>
      <c r="C38" s="3" t="s">
        <v>168</v>
      </c>
      <c r="D38" s="4" t="s">
        <v>176</v>
      </c>
      <c r="E38" s="3" t="s">
        <v>177</v>
      </c>
      <c r="F38" s="3" t="s">
        <v>129</v>
      </c>
      <c r="G38" s="5" t="s">
        <v>18</v>
      </c>
      <c r="H38" s="5" t="s">
        <v>58</v>
      </c>
      <c r="I38" s="3"/>
      <c r="J38" s="5"/>
      <c r="K38" s="5"/>
      <c r="L38" s="5" t="s">
        <v>21</v>
      </c>
    </row>
    <row r="39" customFormat="false" ht="23.85" hidden="false" customHeight="false" outlineLevel="0" collapsed="false">
      <c r="A39" s="2" t="s">
        <v>178</v>
      </c>
      <c r="B39" s="3" t="s">
        <v>129</v>
      </c>
      <c r="C39" s="3" t="s">
        <v>168</v>
      </c>
      <c r="D39" s="4" t="s">
        <v>179</v>
      </c>
      <c r="E39" s="3" t="s">
        <v>180</v>
      </c>
      <c r="F39" s="3" t="s">
        <v>129</v>
      </c>
      <c r="G39" s="5" t="s">
        <v>18</v>
      </c>
      <c r="H39" s="5" t="s">
        <v>58</v>
      </c>
      <c r="I39" s="3" t="s">
        <v>181</v>
      </c>
      <c r="J39" s="5"/>
      <c r="K39" s="5"/>
      <c r="L39" s="5" t="s">
        <v>21</v>
      </c>
    </row>
    <row r="40" customFormat="false" ht="23.85" hidden="false" customHeight="false" outlineLevel="0" collapsed="false">
      <c r="A40" s="2" t="s">
        <v>182</v>
      </c>
      <c r="B40" s="3" t="s">
        <v>129</v>
      </c>
      <c r="C40" s="3" t="s">
        <v>168</v>
      </c>
      <c r="D40" s="4" t="s">
        <v>183</v>
      </c>
      <c r="E40" s="3" t="s">
        <v>184</v>
      </c>
      <c r="F40" s="3" t="s">
        <v>129</v>
      </c>
      <c r="G40" s="5" t="s">
        <v>18</v>
      </c>
      <c r="H40" s="5" t="s">
        <v>58</v>
      </c>
      <c r="I40" s="3" t="s">
        <v>185</v>
      </c>
      <c r="J40" s="5"/>
      <c r="K40" s="5"/>
      <c r="L40" s="5" t="s">
        <v>21</v>
      </c>
    </row>
    <row r="41" customFormat="false" ht="23.85" hidden="false" customHeight="false" outlineLevel="0" collapsed="false">
      <c r="A41" s="2" t="s">
        <v>186</v>
      </c>
      <c r="B41" s="3" t="s">
        <v>129</v>
      </c>
      <c r="C41" s="3" t="s">
        <v>168</v>
      </c>
      <c r="D41" s="4" t="s">
        <v>187</v>
      </c>
      <c r="E41" s="3" t="s">
        <v>188</v>
      </c>
      <c r="F41" s="3" t="s">
        <v>129</v>
      </c>
      <c r="G41" s="5" t="s">
        <v>18</v>
      </c>
      <c r="H41" s="5" t="s">
        <v>58</v>
      </c>
      <c r="I41" s="3" t="s">
        <v>189</v>
      </c>
      <c r="J41" s="5"/>
      <c r="K41" s="5"/>
      <c r="L41" s="5" t="s">
        <v>21</v>
      </c>
    </row>
    <row r="42" customFormat="false" ht="23.85" hidden="false" customHeight="false" outlineLevel="0" collapsed="false">
      <c r="A42" s="2" t="s">
        <v>190</v>
      </c>
      <c r="B42" s="3" t="s">
        <v>129</v>
      </c>
      <c r="C42" s="3" t="s">
        <v>168</v>
      </c>
      <c r="D42" s="4" t="s">
        <v>191</v>
      </c>
      <c r="E42" s="3" t="s">
        <v>192</v>
      </c>
      <c r="F42" s="3" t="s">
        <v>129</v>
      </c>
      <c r="G42" s="5" t="s">
        <v>91</v>
      </c>
      <c r="H42" s="5" t="s">
        <v>92</v>
      </c>
      <c r="I42" s="3" t="s">
        <v>193</v>
      </c>
      <c r="J42" s="5"/>
      <c r="K42" s="5"/>
      <c r="L42" s="5" t="s">
        <v>21</v>
      </c>
    </row>
    <row r="43" customFormat="false" ht="23.85" hidden="false" customHeight="false" outlineLevel="0" collapsed="false">
      <c r="A43" s="2" t="s">
        <v>194</v>
      </c>
      <c r="B43" s="3" t="s">
        <v>129</v>
      </c>
      <c r="C43" s="3" t="s">
        <v>195</v>
      </c>
      <c r="D43" s="4" t="s">
        <v>196</v>
      </c>
      <c r="E43" s="3" t="s">
        <v>197</v>
      </c>
      <c r="F43" s="3" t="s">
        <v>129</v>
      </c>
      <c r="G43" s="5" t="s">
        <v>91</v>
      </c>
      <c r="H43" s="5" t="s">
        <v>92</v>
      </c>
      <c r="I43" s="3"/>
      <c r="J43" s="5"/>
      <c r="K43" s="5"/>
      <c r="L43" s="5" t="s">
        <v>21</v>
      </c>
    </row>
    <row r="44" customFormat="false" ht="23.85" hidden="false" customHeight="false" outlineLevel="0" collapsed="false">
      <c r="A44" s="2" t="s">
        <v>198</v>
      </c>
      <c r="B44" s="3" t="s">
        <v>129</v>
      </c>
      <c r="C44" s="3" t="s">
        <v>199</v>
      </c>
      <c r="D44" s="4" t="s">
        <v>200</v>
      </c>
      <c r="E44" s="3" t="s">
        <v>201</v>
      </c>
      <c r="F44" s="3" t="s">
        <v>129</v>
      </c>
      <c r="G44" s="5" t="s">
        <v>91</v>
      </c>
      <c r="H44" s="5" t="s">
        <v>92</v>
      </c>
      <c r="I44" s="3"/>
      <c r="J44" s="5"/>
      <c r="K44" s="5"/>
      <c r="L44" s="5" t="s">
        <v>21</v>
      </c>
    </row>
    <row r="45" customFormat="false" ht="15" hidden="false" customHeight="false" outlineLevel="0" collapsed="false">
      <c r="A45" s="2" t="s">
        <v>202</v>
      </c>
      <c r="B45" s="3" t="s">
        <v>129</v>
      </c>
      <c r="C45" s="3" t="s">
        <v>199</v>
      </c>
      <c r="D45" s="4" t="s">
        <v>203</v>
      </c>
      <c r="E45" s="3" t="s">
        <v>204</v>
      </c>
      <c r="F45" s="3" t="s">
        <v>129</v>
      </c>
      <c r="G45" s="5" t="s">
        <v>91</v>
      </c>
      <c r="H45" s="5" t="s">
        <v>92</v>
      </c>
      <c r="I45" s="3"/>
      <c r="J45" s="5"/>
      <c r="K45" s="5"/>
      <c r="L45" s="5" t="s">
        <v>21</v>
      </c>
    </row>
    <row r="46" customFormat="false" ht="15" hidden="false" customHeight="false" outlineLevel="0" collapsed="false">
      <c r="A46" s="2" t="s">
        <v>205</v>
      </c>
      <c r="B46" s="3" t="s">
        <v>129</v>
      </c>
      <c r="C46" s="3" t="s">
        <v>206</v>
      </c>
      <c r="D46" s="4" t="s">
        <v>207</v>
      </c>
      <c r="E46" s="3" t="s">
        <v>208</v>
      </c>
      <c r="F46" s="3" t="s">
        <v>129</v>
      </c>
      <c r="G46" s="5" t="s">
        <v>91</v>
      </c>
      <c r="H46" s="5" t="s">
        <v>92</v>
      </c>
      <c r="I46" s="3" t="s">
        <v>209</v>
      </c>
      <c r="J46" s="5"/>
      <c r="K46" s="5"/>
      <c r="L46" s="5" t="s">
        <v>21</v>
      </c>
    </row>
    <row r="47" customFormat="false" ht="23.85" hidden="false" customHeight="false" outlineLevel="0" collapsed="false">
      <c r="A47" s="2" t="s">
        <v>210</v>
      </c>
      <c r="B47" s="3" t="s">
        <v>211</v>
      </c>
      <c r="C47" s="3" t="s">
        <v>212</v>
      </c>
      <c r="D47" s="4" t="s">
        <v>213</v>
      </c>
      <c r="E47" s="3" t="s">
        <v>214</v>
      </c>
      <c r="F47" s="3" t="s">
        <v>211</v>
      </c>
      <c r="G47" s="5" t="s">
        <v>18</v>
      </c>
      <c r="H47" s="5" t="s">
        <v>19</v>
      </c>
      <c r="I47" s="3" t="s">
        <v>215</v>
      </c>
      <c r="J47" s="5"/>
      <c r="K47" s="5"/>
      <c r="L47" s="5" t="s">
        <v>21</v>
      </c>
    </row>
    <row r="48" customFormat="false" ht="15" hidden="false" customHeight="false" outlineLevel="0" collapsed="false">
      <c r="A48" s="2" t="s">
        <v>216</v>
      </c>
      <c r="B48" s="3" t="s">
        <v>211</v>
      </c>
      <c r="C48" s="3" t="s">
        <v>212</v>
      </c>
      <c r="D48" s="4" t="s">
        <v>217</v>
      </c>
      <c r="E48" s="3" t="s">
        <v>218</v>
      </c>
      <c r="F48" s="3" t="s">
        <v>211</v>
      </c>
      <c r="G48" s="5" t="s">
        <v>91</v>
      </c>
      <c r="H48" s="5" t="s">
        <v>92</v>
      </c>
      <c r="I48" s="3"/>
      <c r="J48" s="5"/>
      <c r="K48" s="5"/>
      <c r="L48" s="5" t="s">
        <v>21</v>
      </c>
    </row>
    <row r="49" customFormat="false" ht="15" hidden="false" customHeight="false" outlineLevel="0" collapsed="false">
      <c r="A49" s="2" t="s">
        <v>219</v>
      </c>
      <c r="B49" s="3" t="s">
        <v>211</v>
      </c>
      <c r="C49" s="3" t="s">
        <v>220</v>
      </c>
      <c r="D49" s="4" t="s">
        <v>220</v>
      </c>
      <c r="E49" s="3" t="s">
        <v>221</v>
      </c>
      <c r="F49" s="3" t="s">
        <v>211</v>
      </c>
      <c r="G49" s="5" t="s">
        <v>91</v>
      </c>
      <c r="H49" s="5" t="s">
        <v>92</v>
      </c>
      <c r="I49" s="3"/>
      <c r="J49" s="5"/>
      <c r="K49" s="5"/>
      <c r="L49" s="5" t="s">
        <v>21</v>
      </c>
    </row>
    <row r="50" customFormat="false" ht="15" hidden="false" customHeight="false" outlineLevel="0" collapsed="false">
      <c r="A50" s="2" t="s">
        <v>222</v>
      </c>
      <c r="B50" s="3" t="s">
        <v>211</v>
      </c>
      <c r="C50" s="3" t="s">
        <v>223</v>
      </c>
      <c r="D50" s="4" t="s">
        <v>224</v>
      </c>
      <c r="E50" s="3" t="s">
        <v>225</v>
      </c>
      <c r="F50" s="3" t="s">
        <v>211</v>
      </c>
      <c r="G50" s="5" t="s">
        <v>91</v>
      </c>
      <c r="H50" s="5" t="s">
        <v>92</v>
      </c>
      <c r="I50" s="3" t="s">
        <v>226</v>
      </c>
      <c r="J50" s="5"/>
      <c r="K50" s="5"/>
      <c r="L50" s="5" t="s">
        <v>21</v>
      </c>
    </row>
    <row r="51" customFormat="false" ht="15" hidden="false" customHeight="false" outlineLevel="0" collapsed="false">
      <c r="A51" s="2" t="s">
        <v>227</v>
      </c>
      <c r="B51" s="3" t="s">
        <v>211</v>
      </c>
      <c r="C51" s="3" t="s">
        <v>199</v>
      </c>
      <c r="D51" s="4" t="s">
        <v>228</v>
      </c>
      <c r="E51" s="3" t="s">
        <v>229</v>
      </c>
      <c r="F51" s="3" t="s">
        <v>211</v>
      </c>
      <c r="G51" s="5" t="s">
        <v>91</v>
      </c>
      <c r="H51" s="5" t="s">
        <v>92</v>
      </c>
      <c r="I51" s="3"/>
      <c r="J51" s="5"/>
      <c r="K51" s="5"/>
      <c r="L51" s="5" t="s">
        <v>21</v>
      </c>
    </row>
    <row r="52" customFormat="false" ht="15" hidden="false" customHeight="false" outlineLevel="0" collapsed="false">
      <c r="A52" s="2" t="s">
        <v>230</v>
      </c>
      <c r="B52" s="3" t="s">
        <v>211</v>
      </c>
      <c r="C52" s="3" t="s">
        <v>231</v>
      </c>
      <c r="D52" s="4" t="s">
        <v>232</v>
      </c>
      <c r="E52" s="3" t="s">
        <v>233</v>
      </c>
      <c r="F52" s="3" t="s">
        <v>211</v>
      </c>
      <c r="G52" s="5" t="s">
        <v>91</v>
      </c>
      <c r="H52" s="5" t="s">
        <v>92</v>
      </c>
      <c r="I52" s="3" t="s">
        <v>234</v>
      </c>
      <c r="J52" s="5"/>
      <c r="K52" s="5"/>
      <c r="L52" s="5" t="s">
        <v>21</v>
      </c>
    </row>
  </sheetData>
  <autoFilter ref="A1:L52"/>
  <conditionalFormatting sqref="G2:G300">
    <cfRule type="cellIs" priority="2" operator="equal" aboveAverage="0" equalAverage="0" bottom="0" percent="0" rank="0" text="" dxfId="5">
      <formula>"Bắt buộc"</formula>
    </cfRule>
    <cfRule type="cellIs" priority="3" operator="equal" aboveAverage="0" equalAverage="0" bottom="0" percent="0" rank="0" text="" dxfId="6">
      <formula>"Nâng cao"</formula>
    </cfRule>
  </conditionalFormatting>
  <conditionalFormatting sqref="L2:L300">
    <cfRule type="cellIs" priority="4" operator="equal" aboveAverage="0" equalAverage="0" bottom="0" percent="0" rank="0" text="" dxfId="7">
      <formula>"Hoàn thành"</formula>
    </cfRule>
    <cfRule type="cellIs" priority="5" operator="equal" aboveAverage="0" equalAverage="0" bottom="0" percent="0" rank="0" text="" dxfId="8">
      <formula>"Đang làm"</formula>
    </cfRule>
  </conditionalFormatting>
  <dataValidations count="4">
    <dataValidation allowBlank="true" errorStyle="stop" operator="between" showDropDown="false" showErrorMessage="false" showInputMessage="false" sqref="B2:B300" type="list">
      <formula1>"Chung,Khách hàng,Chủ quán,Quản trị viên"</formula1>
      <formula2>0</formula2>
    </dataValidation>
    <dataValidation allowBlank="true" errorStyle="stop" operator="between" showDropDown="false" showErrorMessage="false" showInputMessage="false" sqref="G2:G300" type="list">
      <formula1>"Bắt buộc,Nâng cao"</formula1>
      <formula2>0</formula2>
    </dataValidation>
    <dataValidation allowBlank="true" errorStyle="stop" operator="between" showDropDown="false" showErrorMessage="false" showInputMessage="false" sqref="H2:H300" type="list">
      <formula1>"Sprint 1,Sprint 2,Sprint 3,Mở rộng"</formula1>
      <formula2>0</formula2>
    </dataValidation>
    <dataValidation allowBlank="true" errorStyle="stop" operator="between" showDropDown="false" showErrorMessage="false" showInputMessage="false" sqref="L2:L300" type="list">
      <formula1>"Chưa làm,Đang làm,Hoàn thành"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14"/>
    <col collapsed="false" customWidth="true" hidden="false" outlineLevel="0" max="5" min="5" style="0" width="4"/>
    <col collapsed="false" customWidth="true" hidden="false" outlineLevel="0" max="6" min="6" style="0" width="70"/>
  </cols>
  <sheetData>
    <row r="1" customFormat="false" ht="17.35" hidden="false" customHeight="false" outlineLevel="0" collapsed="false">
      <c r="A1" s="6" t="s">
        <v>235</v>
      </c>
    </row>
    <row r="3" customFormat="false" ht="15" hidden="false" customHeight="false" outlineLevel="0" collapsed="false">
      <c r="A3" s="7" t="s">
        <v>236</v>
      </c>
      <c r="F3" s="7" t="s">
        <v>237</v>
      </c>
    </row>
    <row r="4" customFormat="false" ht="23.85" hidden="false" customHeight="false" outlineLevel="0" collapsed="false">
      <c r="A4" s="8" t="s">
        <v>1</v>
      </c>
      <c r="B4" s="8" t="s">
        <v>18</v>
      </c>
      <c r="C4" s="8" t="s">
        <v>91</v>
      </c>
      <c r="D4" s="8" t="s">
        <v>238</v>
      </c>
      <c r="F4" s="9" t="s">
        <v>239</v>
      </c>
    </row>
    <row r="5" customFormat="false" ht="35.05" hidden="false" customHeight="false" outlineLevel="0" collapsed="false">
      <c r="A5" s="10" t="s">
        <v>13</v>
      </c>
      <c r="B5" s="11" t="n">
        <f aca="false">COUNTIFS('Danh sách chức năng'!$B$2:$B$300,$A5,'Danh sách chức năng'!$G$2:$G$300,B$4)</f>
        <v>5</v>
      </c>
      <c r="C5" s="11" t="n">
        <f aca="false">COUNTIFS('Danh sách chức năng'!$B$2:$B$300,$A5,'Danh sách chức năng'!$G$2:$G$300,C$4)</f>
        <v>0</v>
      </c>
      <c r="D5" s="12" t="n">
        <f aca="false">B5+C5</f>
        <v>5</v>
      </c>
      <c r="F5" s="9" t="s">
        <v>240</v>
      </c>
    </row>
    <row r="6" customFormat="false" ht="23.85" hidden="false" customHeight="false" outlineLevel="0" collapsed="false">
      <c r="A6" s="10" t="s">
        <v>39</v>
      </c>
      <c r="B6" s="11" t="n">
        <f aca="false">COUNTIFS('Danh sách chức năng'!$B$2:$B$300,$A6,'Danh sách chức năng'!$G$2:$G$300,B$4)</f>
        <v>11</v>
      </c>
      <c r="C6" s="11" t="n">
        <f aca="false">COUNTIFS('Danh sách chức năng'!$B$2:$B$300,$A6,'Danh sách chức năng'!$G$2:$G$300,C$4)</f>
        <v>9</v>
      </c>
      <c r="D6" s="12" t="n">
        <f aca="false">B6+C6</f>
        <v>20</v>
      </c>
      <c r="F6" s="9" t="s">
        <v>241</v>
      </c>
    </row>
    <row r="7" customFormat="false" ht="23.85" hidden="false" customHeight="false" outlineLevel="0" collapsed="false">
      <c r="A7" s="10" t="s">
        <v>129</v>
      </c>
      <c r="B7" s="11" t="n">
        <f aca="false">COUNTIFS('Danh sách chức năng'!$B$2:$B$300,$A7,'Danh sách chức năng'!$G$2:$G$300,B$4)</f>
        <v>15</v>
      </c>
      <c r="C7" s="11" t="n">
        <f aca="false">COUNTIFS('Danh sách chức năng'!$B$2:$B$300,$A7,'Danh sách chức năng'!$G$2:$G$300,C$4)</f>
        <v>5</v>
      </c>
      <c r="D7" s="12" t="n">
        <f aca="false">B7+C7</f>
        <v>20</v>
      </c>
      <c r="F7" s="9" t="s">
        <v>242</v>
      </c>
    </row>
    <row r="8" customFormat="false" ht="23.85" hidden="false" customHeight="false" outlineLevel="0" collapsed="false">
      <c r="A8" s="10" t="s">
        <v>211</v>
      </c>
      <c r="B8" s="11" t="n">
        <f aca="false">COUNTIFS('Danh sách chức năng'!$B$2:$B$300,$A8,'Danh sách chức năng'!$G$2:$G$300,B$4)</f>
        <v>1</v>
      </c>
      <c r="C8" s="11" t="n">
        <f aca="false">COUNTIFS('Danh sách chức năng'!$B$2:$B$300,$A8,'Danh sách chức năng'!$G$2:$G$300,C$4)</f>
        <v>5</v>
      </c>
      <c r="D8" s="12" t="n">
        <f aca="false">B8+C8</f>
        <v>6</v>
      </c>
      <c r="F8" s="9" t="s">
        <v>243</v>
      </c>
    </row>
    <row r="9" customFormat="false" ht="15" hidden="false" customHeight="false" outlineLevel="0" collapsed="false">
      <c r="A9" s="13" t="s">
        <v>244</v>
      </c>
      <c r="B9" s="12" t="n">
        <f aca="false">SUM(B5:B8)</f>
        <v>32</v>
      </c>
      <c r="C9" s="12" t="n">
        <f aca="false">SUM(C5:C8)</f>
        <v>19</v>
      </c>
      <c r="D9" s="12" t="n">
        <f aca="false">SUM(D5:D8)</f>
        <v>51</v>
      </c>
      <c r="F9" s="14" t="s">
        <v>245</v>
      </c>
    </row>
    <row r="10" customFormat="false" ht="23.85" hidden="false" customHeight="false" outlineLevel="0" collapsed="false">
      <c r="F10" s="9" t="s">
        <v>246</v>
      </c>
    </row>
    <row r="11" customFormat="false" ht="23.85" hidden="false" customHeight="false" outlineLevel="0" collapsed="false">
      <c r="A11" s="7" t="s">
        <v>247</v>
      </c>
      <c r="F11" s="9" t="s">
        <v>248</v>
      </c>
    </row>
    <row r="12" customFormat="false" ht="23.85" hidden="false" customHeight="false" outlineLevel="0" collapsed="false">
      <c r="A12" s="8" t="s">
        <v>7</v>
      </c>
      <c r="B12" s="8" t="s">
        <v>18</v>
      </c>
      <c r="C12" s="8" t="s">
        <v>91</v>
      </c>
      <c r="D12" s="8" t="s">
        <v>238</v>
      </c>
      <c r="F12" s="9" t="s">
        <v>249</v>
      </c>
    </row>
    <row r="13" customFormat="false" ht="15" hidden="false" customHeight="false" outlineLevel="0" collapsed="false">
      <c r="A13" s="10" t="s">
        <v>19</v>
      </c>
      <c r="B13" s="11" t="n">
        <f aca="false">COUNTIFS('Danh sách chức năng'!$H$2:$H$300,$A13,'Danh sách chức năng'!$G$2:$G$300,B$12)</f>
        <v>17</v>
      </c>
      <c r="C13" s="11" t="n">
        <f aca="false">COUNTIFS('Danh sách chức năng'!$H$2:$H$300,$A13,'Danh sách chức năng'!$G$2:$G$300,C$12)</f>
        <v>0</v>
      </c>
      <c r="D13" s="12" t="n">
        <f aca="false">B13+C13</f>
        <v>17</v>
      </c>
      <c r="F13" s="9" t="s">
        <v>250</v>
      </c>
    </row>
    <row r="14" customFormat="false" ht="15" hidden="false" customHeight="false" outlineLevel="0" collapsed="false">
      <c r="A14" s="10" t="s">
        <v>58</v>
      </c>
      <c r="B14" s="11" t="n">
        <f aca="false">COUNTIFS('Danh sách chức năng'!$H$2:$H$300,$A14,'Danh sách chức năng'!$G$2:$G$300,B$12)</f>
        <v>15</v>
      </c>
      <c r="C14" s="11" t="n">
        <f aca="false">COUNTIFS('Danh sách chức năng'!$H$2:$H$300,$A14,'Danh sách chức năng'!$G$2:$G$300,C$12)</f>
        <v>0</v>
      </c>
      <c r="D14" s="12" t="n">
        <f aca="false">B14+C14</f>
        <v>15</v>
      </c>
    </row>
    <row r="15" customFormat="false" ht="15" hidden="false" customHeight="false" outlineLevel="0" collapsed="false">
      <c r="A15" s="10" t="s">
        <v>92</v>
      </c>
      <c r="B15" s="11" t="n">
        <f aca="false">COUNTIFS('Danh sách chức năng'!$H$2:$H$300,$A15,'Danh sách chức năng'!$G$2:$G$300,B$12)</f>
        <v>0</v>
      </c>
      <c r="C15" s="11" t="n">
        <f aca="false">COUNTIFS('Danh sách chức năng'!$H$2:$H$300,$A15,'Danh sách chức năng'!$G$2:$G$300,C$12)</f>
        <v>16</v>
      </c>
      <c r="D15" s="12" t="n">
        <f aca="false">B15+C15</f>
        <v>16</v>
      </c>
    </row>
    <row r="16" customFormat="false" ht="15" hidden="false" customHeight="false" outlineLevel="0" collapsed="false">
      <c r="A16" s="10" t="s">
        <v>118</v>
      </c>
      <c r="B16" s="11" t="n">
        <f aca="false">COUNTIFS('Danh sách chức năng'!$H$2:$H$300,$A16,'Danh sách chức năng'!$G$2:$G$300,B$12)</f>
        <v>0</v>
      </c>
      <c r="C16" s="11" t="n">
        <f aca="false">COUNTIFS('Danh sách chức năng'!$H$2:$H$300,$A16,'Danh sách chức năng'!$G$2:$G$300,C$12)</f>
        <v>3</v>
      </c>
      <c r="D16" s="12" t="n">
        <f aca="false">B16+C16</f>
        <v>3</v>
      </c>
    </row>
    <row r="17" customFormat="false" ht="15" hidden="false" customHeight="false" outlineLevel="0" collapsed="false">
      <c r="A17" s="13" t="s">
        <v>244</v>
      </c>
      <c r="B17" s="12" t="n">
        <f aca="false">SUM(B13:B16)</f>
        <v>32</v>
      </c>
      <c r="C17" s="12" t="n">
        <f aca="false">SUM(C13:C16)</f>
        <v>19</v>
      </c>
      <c r="D17" s="12" t="n">
        <f aca="false">SUM(D13:D16)</f>
        <v>51</v>
      </c>
    </row>
    <row r="19" customFormat="false" ht="15" hidden="false" customHeight="false" outlineLevel="0" collapsed="false">
      <c r="A19" s="7" t="s">
        <v>251</v>
      </c>
    </row>
    <row r="20" customFormat="false" ht="15" hidden="false" customHeight="false" outlineLevel="0" collapsed="false">
      <c r="A20" s="8" t="s">
        <v>11</v>
      </c>
      <c r="B20" s="8" t="s">
        <v>252</v>
      </c>
      <c r="C20" s="8" t="s">
        <v>253</v>
      </c>
    </row>
    <row r="21" customFormat="false" ht="15" hidden="false" customHeight="false" outlineLevel="0" collapsed="false">
      <c r="A21" s="10" t="s">
        <v>21</v>
      </c>
      <c r="B21" s="11" t="n">
        <f aca="false">COUNTIFS('Danh sách chức năng'!$L$2:$L$300,$A21)</f>
        <v>51</v>
      </c>
      <c r="C21" s="15" t="n">
        <f aca="false">IF($B$24=0,0,B21/$B$24)</f>
        <v>1</v>
      </c>
    </row>
    <row r="22" customFormat="false" ht="15" hidden="false" customHeight="false" outlineLevel="0" collapsed="false">
      <c r="A22" s="10" t="s">
        <v>254</v>
      </c>
      <c r="B22" s="11" t="n">
        <f aca="false">COUNTIFS('Danh sách chức năng'!$L$2:$L$300,$A22)</f>
        <v>0</v>
      </c>
      <c r="C22" s="15" t="n">
        <f aca="false">IF($B$24=0,0,B22/$B$24)</f>
        <v>0</v>
      </c>
    </row>
    <row r="23" customFormat="false" ht="15" hidden="false" customHeight="false" outlineLevel="0" collapsed="false">
      <c r="A23" s="10" t="s">
        <v>255</v>
      </c>
      <c r="B23" s="11" t="n">
        <f aca="false">COUNTIFS('Danh sách chức năng'!$L$2:$L$300,$A23)</f>
        <v>0</v>
      </c>
      <c r="C23" s="15" t="n">
        <f aca="false">IF($B$24=0,0,B23/$B$24)</f>
        <v>0</v>
      </c>
    </row>
    <row r="24" customFormat="false" ht="15" hidden="false" customHeight="false" outlineLevel="0" collapsed="false">
      <c r="A24" s="13" t="s">
        <v>244</v>
      </c>
      <c r="B24" s="12" t="n">
        <f aca="false">SUM(B21:B23)</f>
        <v>51</v>
      </c>
      <c r="C24" s="16" t="n">
        <f aca="false">SUM(C21:C23)</f>
        <v>1</v>
      </c>
    </row>
    <row r="26" customFormat="false" ht="15" hidden="false" customHeight="false" outlineLevel="0" collapsed="false">
      <c r="A26" s="7" t="s">
        <v>256</v>
      </c>
    </row>
    <row r="27" customFormat="false" ht="15" hidden="false" customHeight="false" outlineLevel="0" collapsed="false">
      <c r="A27" s="17" t="s">
        <v>257</v>
      </c>
      <c r="B27" s="17" t="n">
        <f aca="false">COUNTA('Danh sách chức năng'!$A$2:$A$300)</f>
        <v>51</v>
      </c>
    </row>
    <row r="28" customFormat="false" ht="15" hidden="false" customHeight="false" outlineLevel="0" collapsed="false">
      <c r="A28" s="17" t="s">
        <v>258</v>
      </c>
      <c r="B28" s="7" t="str">
        <f aca="false">IF(D9=B27,"OK","Sai chính tả")</f>
        <v>OK</v>
      </c>
    </row>
    <row r="29" customFormat="false" ht="15" hidden="false" customHeight="false" outlineLevel="0" collapsed="false">
      <c r="A29" s="17" t="s">
        <v>259</v>
      </c>
      <c r="B29" s="7" t="str">
        <f aca="false">IF(D17=B27,"OK","Sai chính tả")</f>
        <v>OK</v>
      </c>
    </row>
    <row r="30" customFormat="false" ht="15" hidden="false" customHeight="false" outlineLevel="0" collapsed="false">
      <c r="A30" s="17" t="s">
        <v>260</v>
      </c>
      <c r="B30" s="7" t="str">
        <f aca="false">IF(B24=B27,"OK","Sai chính tả")</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62"/>
    <col collapsed="false" customWidth="true" hidden="false" outlineLevel="0" max="4" min="4" style="0" width="16"/>
    <col collapsed="false" customWidth="true" hidden="false" outlineLevel="0" max="5" min="5" style="0" width="30"/>
    <col collapsed="false" customWidth="true" hidden="false" outlineLevel="0" max="6" min="6" style="0" width="14"/>
    <col collapsed="false" customWidth="true" hidden="false" outlineLevel="0" max="7" min="7" style="0" width="12"/>
  </cols>
  <sheetData>
    <row r="1" customFormat="false" ht="27.75" hidden="false" customHeight="true" outlineLevel="0" collapsed="false">
      <c r="A1" s="1" t="s">
        <v>261</v>
      </c>
      <c r="B1" s="1" t="s">
        <v>262</v>
      </c>
      <c r="C1" s="1" t="s">
        <v>263</v>
      </c>
      <c r="D1" s="1" t="s">
        <v>264</v>
      </c>
      <c r="E1" s="1" t="s">
        <v>265</v>
      </c>
      <c r="F1" s="1" t="s">
        <v>266</v>
      </c>
      <c r="G1" s="1" t="s">
        <v>267</v>
      </c>
    </row>
    <row r="2" customFormat="false" ht="35.05" hidden="false" customHeight="false" outlineLevel="0" collapsed="false">
      <c r="A2" s="5" t="n">
        <v>1</v>
      </c>
      <c r="B2" s="3" t="s">
        <v>268</v>
      </c>
      <c r="C2" s="3" t="s">
        <v>269</v>
      </c>
      <c r="D2" s="3" t="s">
        <v>270</v>
      </c>
      <c r="E2" s="3"/>
      <c r="F2" s="3"/>
      <c r="G2" s="5"/>
    </row>
    <row r="3" customFormat="false" ht="35.05" hidden="false" customHeight="false" outlineLevel="0" collapsed="false">
      <c r="A3" s="5" t="n">
        <v>2</v>
      </c>
      <c r="B3" s="3" t="s">
        <v>271</v>
      </c>
      <c r="C3" s="3" t="s">
        <v>272</v>
      </c>
      <c r="D3" s="3" t="s">
        <v>273</v>
      </c>
      <c r="E3" s="3"/>
      <c r="F3" s="3"/>
      <c r="G3" s="5"/>
    </row>
    <row r="4" customFormat="false" ht="23.85" hidden="false" customHeight="false" outlineLevel="0" collapsed="false">
      <c r="A4" s="5" t="n">
        <v>3</v>
      </c>
      <c r="B4" s="3" t="s">
        <v>274</v>
      </c>
      <c r="C4" s="3" t="s">
        <v>275</v>
      </c>
      <c r="D4" s="3" t="s">
        <v>276</v>
      </c>
      <c r="E4" s="3"/>
      <c r="F4" s="3"/>
      <c r="G4" s="5"/>
    </row>
    <row r="5" customFormat="false" ht="23.85" hidden="false" customHeight="false" outlineLevel="0" collapsed="false">
      <c r="A5" s="5" t="n">
        <v>4</v>
      </c>
      <c r="B5" s="3" t="s">
        <v>277</v>
      </c>
      <c r="C5" s="3" t="s">
        <v>278</v>
      </c>
      <c r="D5" s="3" t="s">
        <v>279</v>
      </c>
      <c r="E5" s="3"/>
      <c r="F5" s="3"/>
      <c r="G5" s="5"/>
    </row>
    <row r="6" customFormat="false" ht="23.85" hidden="false" customHeight="false" outlineLevel="0" collapsed="false">
      <c r="A6" s="5" t="n">
        <v>5</v>
      </c>
      <c r="B6" s="3" t="s">
        <v>280</v>
      </c>
      <c r="C6" s="3" t="s">
        <v>281</v>
      </c>
      <c r="D6" s="3" t="s">
        <v>282</v>
      </c>
      <c r="E6" s="3"/>
      <c r="F6" s="3"/>
      <c r="G6" s="5"/>
    </row>
    <row r="7" customFormat="false" ht="23.85" hidden="false" customHeight="false" outlineLevel="0" collapsed="false">
      <c r="A7" s="5" t="n">
        <v>6</v>
      </c>
      <c r="B7" s="3" t="s">
        <v>283</v>
      </c>
      <c r="C7" s="3" t="s">
        <v>284</v>
      </c>
      <c r="D7" s="3" t="s">
        <v>285</v>
      </c>
      <c r="E7" s="3"/>
      <c r="F7" s="3"/>
      <c r="G7" s="5"/>
    </row>
    <row r="8" customFormat="false" ht="23.85" hidden="false" customHeight="false" outlineLevel="0" collapsed="false">
      <c r="A8" s="5" t="n">
        <v>7</v>
      </c>
      <c r="B8" s="3" t="s">
        <v>286</v>
      </c>
      <c r="C8" s="3" t="s">
        <v>287</v>
      </c>
      <c r="D8" s="3" t="s">
        <v>288</v>
      </c>
      <c r="E8" s="3"/>
      <c r="F8" s="3"/>
      <c r="G8" s="5"/>
    </row>
    <row r="9" customFormat="false" ht="23.85" hidden="false" customHeight="false" outlineLevel="0" collapsed="false">
      <c r="A9" s="5" t="n">
        <v>8</v>
      </c>
      <c r="B9" s="3" t="s">
        <v>289</v>
      </c>
      <c r="C9" s="3" t="s">
        <v>290</v>
      </c>
      <c r="D9" s="3" t="s">
        <v>291</v>
      </c>
      <c r="E9" s="3"/>
      <c r="F9" s="3"/>
      <c r="G9" s="5"/>
    </row>
    <row r="10" customFormat="false" ht="23.85" hidden="false" customHeight="false" outlineLevel="0" collapsed="false">
      <c r="A10" s="5" t="n">
        <v>9</v>
      </c>
      <c r="B10" s="3" t="s">
        <v>292</v>
      </c>
      <c r="C10" s="3" t="s">
        <v>293</v>
      </c>
      <c r="D10" s="3" t="s">
        <v>294</v>
      </c>
      <c r="E10" s="3"/>
      <c r="F10" s="3"/>
      <c r="G10" s="5"/>
    </row>
    <row r="11" customFormat="false" ht="23.85" hidden="false" customHeight="false" outlineLevel="0" collapsed="false">
      <c r="A11" s="5" t="n">
        <v>10</v>
      </c>
      <c r="B11" s="3" t="s">
        <v>295</v>
      </c>
      <c r="C11" s="3" t="s">
        <v>296</v>
      </c>
      <c r="D11" s="3" t="s">
        <v>297</v>
      </c>
      <c r="E11" s="3"/>
      <c r="F11" s="3"/>
      <c r="G11" s="5"/>
    </row>
    <row r="12" customFormat="false" ht="15" hidden="false" customHeight="false" outlineLevel="0" collapsed="false">
      <c r="A12" s="5" t="n">
        <v>11</v>
      </c>
      <c r="B12" s="3" t="s">
        <v>298</v>
      </c>
      <c r="C12" s="3" t="s">
        <v>299</v>
      </c>
      <c r="D12" s="3" t="s">
        <v>210</v>
      </c>
      <c r="E12" s="3"/>
      <c r="F12" s="3"/>
      <c r="G12" s="5"/>
    </row>
    <row r="13" customFormat="false" ht="23.85" hidden="false" customHeight="false" outlineLevel="0" collapsed="false">
      <c r="A13" s="5" t="n">
        <v>12</v>
      </c>
      <c r="B13" s="3" t="s">
        <v>300</v>
      </c>
      <c r="C13" s="3" t="s">
        <v>301</v>
      </c>
      <c r="D13" s="3" t="s">
        <v>156</v>
      </c>
      <c r="E13" s="3"/>
      <c r="F13" s="3"/>
      <c r="G13" s="5"/>
    </row>
    <row r="14" customFormat="false" ht="23.85" hidden="false" customHeight="false" outlineLevel="0" collapsed="false">
      <c r="A14" s="5" t="n">
        <v>13</v>
      </c>
      <c r="B14" s="3" t="s">
        <v>302</v>
      </c>
      <c r="C14" s="3" t="s">
        <v>303</v>
      </c>
      <c r="D14" s="3" t="s">
        <v>304</v>
      </c>
      <c r="E14" s="3"/>
      <c r="F14" s="3"/>
      <c r="G14" s="5"/>
    </row>
    <row r="15" customFormat="false" ht="23.85" hidden="false" customHeight="false" outlineLevel="0" collapsed="false">
      <c r="A15" s="5" t="n">
        <v>14</v>
      </c>
      <c r="B15" s="3" t="s">
        <v>305</v>
      </c>
      <c r="C15" s="3" t="s">
        <v>306</v>
      </c>
      <c r="D15" s="3" t="s">
        <v>307</v>
      </c>
      <c r="E15" s="3"/>
      <c r="F15" s="3"/>
      <c r="G15" s="5"/>
    </row>
    <row r="16" customFormat="false" ht="23.85" hidden="false" customHeight="false" outlineLevel="0" collapsed="false">
      <c r="A16" s="5" t="n">
        <v>15</v>
      </c>
      <c r="B16" s="3" t="s">
        <v>308</v>
      </c>
      <c r="C16" s="3" t="s">
        <v>309</v>
      </c>
      <c r="D16" s="3" t="s">
        <v>310</v>
      </c>
      <c r="E16" s="3"/>
      <c r="F16" s="3"/>
      <c r="G1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2026-10-04T16:31:13Z</dcterms:created>
  <dc:creator>openpyxl</dc:creator>
  <dc:description/>
  <dc:language>en-US</dc:language>
  <cp:lastModifiedBy/>
  <dcterms:modified xsi:type="dcterms:W3CDTF">2026-10-04T16:31:13Z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